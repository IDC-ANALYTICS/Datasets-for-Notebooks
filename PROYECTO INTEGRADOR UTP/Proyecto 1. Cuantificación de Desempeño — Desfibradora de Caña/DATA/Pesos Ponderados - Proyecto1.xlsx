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cuments\Claude\Projects\Planteamiento de proyectos integradores diplomado\Datasets\"/>
    </mc:Choice>
  </mc:AlternateContent>
  <xr:revisionPtr revIDLastSave="0" documentId="13_ncr:1_{55219C6A-418D-4E55-8B2D-C11D28837A5A}" xr6:coauthVersionLast="47" xr6:coauthVersionMax="47" xr10:uidLastSave="{00000000-0000-0000-0000-000000000000}"/>
  <bookViews>
    <workbookView xWindow="-108" yWindow="-108" windowWidth="23256" windowHeight="12576" xr2:uid="{3A8CF21A-61B2-4ABD-825B-EE856E12825A}"/>
  </bookViews>
  <sheets>
    <sheet name="PESOS" sheetId="3" r:id="rId1"/>
    <sheet name="Hoja3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3" l="1"/>
  <c r="D5" i="3" s="1"/>
  <c r="B6" i="4" a="1"/>
  <c r="B6" i="4" s="1"/>
  <c r="B7" i="4" a="1"/>
  <c r="B7" i="4"/>
  <c r="B8" i="4" a="1"/>
  <c r="B8" i="4" s="1"/>
  <c r="B9" i="4" a="1"/>
  <c r="B9" i="4" s="1"/>
  <c r="B10" i="4" a="1"/>
  <c r="B10" i="4"/>
  <c r="B11" i="4" a="1"/>
  <c r="B11" i="4" s="1"/>
  <c r="B12" i="4" a="1"/>
  <c r="B12" i="4" s="1"/>
  <c r="B13" i="4" a="1"/>
  <c r="B13" i="4"/>
  <c r="B14" i="4" a="1"/>
  <c r="B14" i="4" s="1"/>
  <c r="B15" i="4" a="1"/>
  <c r="B15" i="4"/>
  <c r="B16" i="4" a="1"/>
  <c r="B16" i="4" s="1"/>
  <c r="B17" i="4" a="1"/>
  <c r="B17" i="4" s="1"/>
  <c r="B18" i="4" a="1"/>
  <c r="B18" i="4"/>
  <c r="B19" i="4" a="1"/>
  <c r="B19" i="4" s="1"/>
  <c r="B20" i="4" a="1"/>
  <c r="B20" i="4" s="1"/>
  <c r="B21" i="4" a="1"/>
  <c r="B21" i="4"/>
  <c r="B22" i="4" a="1"/>
  <c r="B22" i="4" s="1"/>
  <c r="B23" i="4" a="1"/>
  <c r="B23" i="4"/>
  <c r="B24" i="4" a="1"/>
  <c r="B24" i="4" s="1"/>
  <c r="B25" i="4" a="1"/>
  <c r="B25" i="4" s="1"/>
  <c r="B26" i="4" a="1"/>
  <c r="B26" i="4"/>
  <c r="B27" i="4" a="1"/>
  <c r="B27" i="4" s="1"/>
  <c r="B28" i="4" a="1"/>
  <c r="B28" i="4" s="1"/>
  <c r="B29" i="4" a="1"/>
  <c r="B29" i="4"/>
  <c r="B30" i="4" a="1"/>
  <c r="B30" i="4" s="1"/>
  <c r="B31" i="4" a="1"/>
  <c r="B31" i="4"/>
  <c r="B32" i="4" a="1"/>
  <c r="B32" i="4" s="1"/>
  <c r="B33" i="4" a="1"/>
  <c r="B33" i="4" s="1"/>
  <c r="B34" i="4" a="1"/>
  <c r="B34" i="4"/>
  <c r="B35" i="4" a="1"/>
  <c r="B35" i="4" s="1"/>
  <c r="B36" i="4" a="1"/>
  <c r="B36" i="4" s="1"/>
  <c r="B37" i="4" a="1"/>
  <c r="B37" i="4"/>
  <c r="B38" i="4" a="1"/>
  <c r="B38" i="4" s="1"/>
  <c r="B39" i="4" a="1"/>
  <c r="B39" i="4" s="1"/>
  <c r="B40" i="4" a="1"/>
  <c r="B40" i="4" s="1"/>
  <c r="B41" i="4" a="1"/>
  <c r="B41" i="4" s="1"/>
  <c r="B42" i="4" a="1"/>
  <c r="B42" i="4"/>
  <c r="B43" i="4" a="1"/>
  <c r="B43" i="4" s="1"/>
  <c r="B44" i="4" a="1"/>
  <c r="B44" i="4" s="1"/>
  <c r="B45" i="4" a="1"/>
  <c r="B45" i="4"/>
  <c r="B46" i="4" a="1"/>
  <c r="B46" i="4" s="1"/>
  <c r="B47" i="4" a="1"/>
  <c r="B47" i="4"/>
  <c r="B48" i="4" a="1"/>
  <c r="B48" i="4" s="1"/>
  <c r="B49" i="4" a="1"/>
  <c r="B49" i="4" s="1"/>
  <c r="B50" i="4" a="1"/>
  <c r="B50" i="4"/>
  <c r="B51" i="4" a="1"/>
  <c r="B51" i="4" s="1"/>
  <c r="B52" i="4" a="1"/>
  <c r="B52" i="4" s="1"/>
  <c r="B53" i="4" a="1"/>
  <c r="B53" i="4"/>
  <c r="B54" i="4" a="1"/>
  <c r="B54" i="4" s="1"/>
  <c r="B55" i="4" a="1"/>
  <c r="B55" i="4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/>
  <c r="B62" i="4" a="1"/>
  <c r="B62" i="4" s="1"/>
  <c r="B63" i="4" a="1"/>
  <c r="B63" i="4"/>
  <c r="B64" i="4" a="1"/>
  <c r="B64" i="4" s="1"/>
  <c r="B65" i="4" a="1"/>
  <c r="B65" i="4" s="1"/>
  <c r="B66" i="4" a="1"/>
  <c r="B66" i="4"/>
  <c r="B67" i="4" a="1"/>
  <c r="B67" i="4" s="1"/>
  <c r="B68" i="4" a="1"/>
  <c r="B68" i="4" s="1"/>
  <c r="B69" i="4" a="1"/>
  <c r="B69" i="4"/>
  <c r="B70" i="4" a="1"/>
  <c r="B70" i="4" s="1"/>
  <c r="B71" i="4" a="1"/>
  <c r="B71" i="4"/>
  <c r="B72" i="4" a="1"/>
  <c r="B72" i="4" s="1"/>
  <c r="B73" i="4" a="1"/>
  <c r="B73" i="4" s="1"/>
  <c r="B74" i="4" a="1"/>
  <c r="B74" i="4"/>
  <c r="B75" i="4" a="1"/>
  <c r="B75" i="4" s="1"/>
  <c r="B76" i="4" a="1"/>
  <c r="B76" i="4" s="1"/>
  <c r="B77" i="4" a="1"/>
  <c r="B77" i="4"/>
  <c r="B78" i="4" a="1"/>
  <c r="B78" i="4" s="1"/>
  <c r="B79" i="4" a="1"/>
  <c r="B79" i="4"/>
  <c r="B80" i="4" a="1"/>
  <c r="B80" i="4" s="1"/>
  <c r="B81" i="4" a="1"/>
  <c r="B81" i="4" s="1"/>
  <c r="B82" i="4" a="1"/>
  <c r="B82" i="4"/>
  <c r="B83" i="4" a="1"/>
  <c r="B83" i="4" s="1"/>
  <c r="B84" i="4" a="1"/>
  <c r="B84" i="4" s="1"/>
  <c r="B85" i="4" a="1"/>
  <c r="B85" i="4"/>
  <c r="B86" i="4" a="1"/>
  <c r="B86" i="4" s="1"/>
  <c r="B87" i="4" a="1"/>
  <c r="B87" i="4" s="1"/>
  <c r="B88" i="4" a="1"/>
  <c r="B88" i="4" s="1"/>
  <c r="B89" i="4" a="1"/>
  <c r="B89" i="4" s="1"/>
  <c r="B90" i="4" a="1"/>
  <c r="B90" i="4"/>
  <c r="B91" i="4" a="1"/>
  <c r="B91" i="4" s="1"/>
  <c r="B92" i="4" a="1"/>
  <c r="B92" i="4" s="1"/>
  <c r="B93" i="4" a="1"/>
  <c r="B93" i="4"/>
  <c r="B94" i="4" a="1"/>
  <c r="B94" i="4" s="1"/>
  <c r="B95" i="4" a="1"/>
  <c r="B95" i="4" s="1"/>
  <c r="B96" i="4" a="1"/>
  <c r="B96" i="4" s="1"/>
  <c r="B97" i="4" a="1"/>
  <c r="B97" i="4" s="1"/>
  <c r="B98" i="4" a="1"/>
  <c r="B98" i="4" s="1"/>
  <c r="B99" i="4" a="1"/>
  <c r="B99" i="4" s="1"/>
  <c r="B100" i="4" a="1"/>
  <c r="B100" i="4" s="1"/>
  <c r="B101" i="4" a="1"/>
  <c r="B101" i="4"/>
  <c r="B102" i="4" a="1"/>
  <c r="B102" i="4" s="1"/>
  <c r="B103" i="4" a="1"/>
  <c r="B103" i="4" s="1"/>
  <c r="B104" i="4" a="1"/>
  <c r="B104" i="4" s="1"/>
  <c r="B105" i="4" a="1"/>
  <c r="B105" i="4" s="1"/>
  <c r="B106" i="4" a="1"/>
  <c r="B106" i="4" s="1"/>
  <c r="B107" i="4" a="1"/>
  <c r="B107" i="4" s="1"/>
  <c r="B108" i="4" a="1"/>
  <c r="B108" i="4" s="1"/>
  <c r="B109" i="4" a="1"/>
  <c r="B109" i="4"/>
  <c r="B110" i="4" a="1"/>
  <c r="B110" i="4" s="1"/>
  <c r="B111" i="4" a="1"/>
  <c r="B111" i="4" s="1"/>
  <c r="B112" i="4" a="1"/>
  <c r="B112" i="4" s="1"/>
  <c r="B113" i="4" a="1"/>
  <c r="B113" i="4" s="1"/>
  <c r="B114" i="4" a="1"/>
  <c r="B114" i="4" s="1"/>
  <c r="B115" i="4" a="1"/>
  <c r="B115" i="4" s="1"/>
  <c r="B116" i="4" a="1"/>
  <c r="B116" i="4" s="1"/>
  <c r="B117" i="4" a="1"/>
  <c r="B117" i="4"/>
  <c r="B118" i="4" a="1"/>
  <c r="B118" i="4" s="1"/>
  <c r="B119" i="4" a="1"/>
  <c r="B119" i="4" s="1"/>
  <c r="B120" i="4" a="1"/>
  <c r="B120" i="4" s="1"/>
  <c r="B121" i="4" a="1"/>
  <c r="B121" i="4" s="1"/>
  <c r="B122" i="4" a="1"/>
  <c r="B122" i="4" s="1"/>
  <c r="B123" i="4" a="1"/>
  <c r="B123" i="4" s="1"/>
  <c r="B124" i="4" a="1"/>
  <c r="B124" i="4" s="1"/>
  <c r="B125" i="4" a="1"/>
  <c r="B125" i="4"/>
  <c r="B126" i="4" a="1"/>
  <c r="B126" i="4" s="1"/>
  <c r="B127" i="4" a="1"/>
  <c r="B127" i="4" s="1"/>
  <c r="B128" i="4" a="1"/>
  <c r="B128" i="4" s="1"/>
  <c r="B129" i="4" a="1"/>
  <c r="B129" i="4" s="1"/>
  <c r="B130" i="4" a="1"/>
  <c r="B130" i="4" s="1"/>
  <c r="B131" i="4" a="1"/>
  <c r="B131" i="4" s="1"/>
  <c r="B132" i="4" a="1"/>
  <c r="B132" i="4" s="1"/>
  <c r="B133" i="4" a="1"/>
  <c r="B133" i="4"/>
  <c r="B134" i="4" a="1"/>
  <c r="B134" i="4" s="1"/>
  <c r="B135" i="4" a="1"/>
  <c r="B135" i="4" s="1"/>
  <c r="B136" i="4" a="1"/>
  <c r="B136" i="4" s="1"/>
  <c r="B137" i="4" a="1"/>
  <c r="B137" i="4" s="1"/>
  <c r="B138" i="4" a="1"/>
  <c r="B138" i="4" s="1"/>
  <c r="B139" i="4" a="1"/>
  <c r="B139" i="4" s="1"/>
  <c r="B140" i="4" a="1"/>
  <c r="B140" i="4" s="1"/>
  <c r="B141" i="4" a="1"/>
  <c r="B141" i="4"/>
  <c r="B142" i="4" a="1"/>
  <c r="B142" i="4" s="1"/>
  <c r="B143" i="4" a="1"/>
  <c r="B143" i="4" s="1"/>
  <c r="B144" i="4" a="1"/>
  <c r="B144" i="4" s="1"/>
  <c r="B145" i="4" a="1"/>
  <c r="B145" i="4" s="1"/>
  <c r="B146" i="4" a="1"/>
  <c r="B146" i="4" s="1"/>
  <c r="B147" i="4" a="1"/>
  <c r="B147" i="4" s="1"/>
  <c r="B148" i="4" a="1"/>
  <c r="B148" i="4" s="1"/>
  <c r="B149" i="4" a="1"/>
  <c r="B149" i="4"/>
  <c r="B150" i="4" a="1"/>
  <c r="B150" i="4" s="1"/>
  <c r="B151" i="4" a="1"/>
  <c r="B151" i="4" s="1"/>
  <c r="B152" i="4" a="1"/>
  <c r="B152" i="4" s="1"/>
  <c r="B153" i="4" a="1"/>
  <c r="B153" i="4" s="1"/>
  <c r="B154" i="4" a="1"/>
  <c r="B154" i="4" s="1"/>
  <c r="B155" i="4" a="1"/>
  <c r="B155" i="4" s="1"/>
  <c r="B156" i="4" a="1"/>
  <c r="B156" i="4" s="1"/>
  <c r="B157" i="4" a="1"/>
  <c r="B157" i="4"/>
  <c r="B158" i="4" a="1"/>
  <c r="B158" i="4" s="1"/>
  <c r="B159" i="4" a="1"/>
  <c r="B159" i="4" s="1"/>
  <c r="B160" i="4" a="1"/>
  <c r="B160" i="4" s="1"/>
  <c r="B161" i="4" a="1"/>
  <c r="B161" i="4" s="1"/>
  <c r="B162" i="4" a="1"/>
  <c r="B162" i="4" s="1"/>
  <c r="B163" i="4" a="1"/>
  <c r="B163" i="4" s="1"/>
  <c r="B164" i="4" a="1"/>
  <c r="B164" i="4" s="1"/>
  <c r="B165" i="4" a="1"/>
  <c r="B165" i="4"/>
  <c r="B166" i="4" a="1"/>
  <c r="B166" i="4" s="1"/>
  <c r="B167" i="4" a="1"/>
  <c r="B167" i="4" s="1"/>
  <c r="B168" i="4" a="1"/>
  <c r="B168" i="4" s="1"/>
  <c r="B169" i="4" a="1"/>
  <c r="B169" i="4" s="1"/>
  <c r="B170" i="4" a="1"/>
  <c r="B170" i="4" s="1"/>
  <c r="B171" i="4" a="1"/>
  <c r="B171" i="4" s="1"/>
  <c r="B172" i="4" a="1"/>
  <c r="B172" i="4" s="1"/>
  <c r="B173" i="4" a="1"/>
  <c r="B173" i="4"/>
  <c r="B174" i="4" a="1"/>
  <c r="B174" i="4" s="1"/>
  <c r="B175" i="4" a="1"/>
  <c r="B175" i="4" s="1"/>
  <c r="B176" i="4" a="1"/>
  <c r="B176" i="4" s="1"/>
  <c r="B177" i="4" a="1"/>
  <c r="B177" i="4" s="1"/>
  <c r="B178" i="4" a="1"/>
  <c r="B178" i="4" s="1"/>
  <c r="B179" i="4" a="1"/>
  <c r="B179" i="4" s="1"/>
  <c r="B180" i="4" a="1"/>
  <c r="B180" i="4" s="1"/>
  <c r="B181" i="4" a="1"/>
  <c r="B181" i="4"/>
  <c r="B182" i="4" a="1"/>
  <c r="B182" i="4" s="1"/>
  <c r="B183" i="4" a="1"/>
  <c r="B183" i="4" s="1"/>
  <c r="B184" i="4" a="1"/>
  <c r="B184" i="4" s="1"/>
  <c r="B185" i="4" a="1"/>
  <c r="B185" i="4" s="1"/>
  <c r="B186" i="4" a="1"/>
  <c r="B186" i="4" s="1"/>
  <c r="B187" i="4" a="1"/>
  <c r="B187" i="4" s="1"/>
  <c r="B188" i="4" a="1"/>
  <c r="B188" i="4" s="1"/>
  <c r="B189" i="4" a="1"/>
  <c r="B189" i="4"/>
  <c r="B190" i="4" a="1"/>
  <c r="B190" i="4" s="1"/>
  <c r="B191" i="4" a="1"/>
  <c r="B191" i="4" s="1"/>
  <c r="B192" i="4" a="1"/>
  <c r="B192" i="4" s="1"/>
  <c r="B193" i="4" a="1"/>
  <c r="B193" i="4" s="1"/>
  <c r="B194" i="4" a="1"/>
  <c r="B194" i="4" s="1"/>
  <c r="B195" i="4" a="1"/>
  <c r="B195" i="4" s="1"/>
  <c r="B196" i="4" a="1"/>
  <c r="B196" i="4" s="1"/>
  <c r="B197" i="4" a="1"/>
  <c r="B197" i="4"/>
  <c r="B198" i="4" a="1"/>
  <c r="B198" i="4" s="1"/>
  <c r="B199" i="4" a="1"/>
  <c r="B199" i="4" s="1"/>
  <c r="B200" i="4" a="1"/>
  <c r="B200" i="4" s="1"/>
  <c r="B201" i="4" a="1"/>
  <c r="B201" i="4" s="1"/>
  <c r="B202" i="4" a="1"/>
  <c r="B202" i="4" s="1"/>
  <c r="B203" i="4" a="1"/>
  <c r="B203" i="4" s="1"/>
  <c r="B204" i="4" a="1"/>
  <c r="B204" i="4" s="1"/>
  <c r="B205" i="4" a="1"/>
  <c r="B205" i="4"/>
  <c r="B206" i="4" a="1"/>
  <c r="B206" i="4" s="1"/>
  <c r="B207" i="4" a="1"/>
  <c r="B207" i="4" s="1"/>
  <c r="B208" i="4" a="1"/>
  <c r="B208" i="4" s="1"/>
  <c r="B209" i="4" a="1"/>
  <c r="B209" i="4" s="1"/>
  <c r="B210" i="4" a="1"/>
  <c r="B210" i="4" s="1"/>
  <c r="B211" i="4" a="1"/>
  <c r="B211" i="4" s="1"/>
  <c r="B212" i="4" a="1"/>
  <c r="B212" i="4" s="1"/>
  <c r="B213" i="4" a="1"/>
  <c r="B213" i="4"/>
  <c r="B214" i="4" a="1"/>
  <c r="B214" i="4" s="1"/>
  <c r="B215" i="4" a="1"/>
  <c r="B215" i="4" s="1"/>
  <c r="B216" i="4" a="1"/>
  <c r="B216" i="4" s="1"/>
  <c r="B217" i="4" a="1"/>
  <c r="B217" i="4" s="1"/>
  <c r="B218" i="4" a="1"/>
  <c r="B218" i="4" s="1"/>
  <c r="B219" i="4" a="1"/>
  <c r="B219" i="4" s="1"/>
  <c r="B220" i="4" a="1"/>
  <c r="B220" i="4" s="1"/>
  <c r="B221" i="4" a="1"/>
  <c r="B221" i="4"/>
  <c r="B222" i="4" a="1"/>
  <c r="B222" i="4" s="1"/>
  <c r="B223" i="4" a="1"/>
  <c r="B223" i="4" s="1"/>
  <c r="B224" i="4" a="1"/>
  <c r="B224" i="4" s="1"/>
  <c r="B225" i="4" a="1"/>
  <c r="B225" i="4" s="1"/>
  <c r="B226" i="4" a="1"/>
  <c r="B226" i="4" s="1"/>
  <c r="B227" i="4" a="1"/>
  <c r="B227" i="4" s="1"/>
  <c r="B228" i="4" a="1"/>
  <c r="B228" i="4" s="1"/>
  <c r="B229" i="4" a="1"/>
  <c r="B229" i="4"/>
  <c r="B230" i="4" a="1"/>
  <c r="B230" i="4" s="1"/>
  <c r="B231" i="4" a="1"/>
  <c r="B231" i="4" s="1"/>
  <c r="B232" i="4" a="1"/>
  <c r="B232" i="4" s="1"/>
  <c r="B233" i="4" a="1"/>
  <c r="B233" i="4" s="1"/>
  <c r="B234" i="4" a="1"/>
  <c r="B234" i="4" s="1"/>
  <c r="B235" i="4" a="1"/>
  <c r="B235" i="4" s="1"/>
  <c r="B236" i="4" a="1"/>
  <c r="B236" i="4" s="1"/>
  <c r="B237" i="4" a="1"/>
  <c r="B237" i="4"/>
  <c r="B238" i="4" a="1"/>
  <c r="B238" i="4" s="1"/>
  <c r="B239" i="4" a="1"/>
  <c r="B239" i="4" s="1"/>
  <c r="B240" i="4" a="1"/>
  <c r="B240" i="4" s="1"/>
  <c r="B241" i="4" a="1"/>
  <c r="B241" i="4" s="1"/>
  <c r="B242" i="4" a="1"/>
  <c r="B242" i="4" s="1"/>
  <c r="B243" i="4" a="1"/>
  <c r="B243" i="4" s="1"/>
  <c r="B244" i="4" a="1"/>
  <c r="B244" i="4" s="1"/>
  <c r="B245" i="4" a="1"/>
  <c r="B245" i="4"/>
  <c r="B246" i="4" a="1"/>
  <c r="B246" i="4" s="1"/>
  <c r="B247" i="4" a="1"/>
  <c r="B247" i="4" s="1"/>
  <c r="B248" i="4" a="1"/>
  <c r="B248" i="4" s="1"/>
  <c r="B249" i="4" a="1"/>
  <c r="B249" i="4" s="1"/>
  <c r="B250" i="4" a="1"/>
  <c r="B250" i="4" s="1"/>
  <c r="B251" i="4" a="1"/>
  <c r="B251" i="4" s="1"/>
  <c r="B252" i="4" a="1"/>
  <c r="B252" i="4" s="1"/>
  <c r="B253" i="4" a="1"/>
  <c r="B253" i="4"/>
  <c r="B254" i="4" a="1"/>
  <c r="B254" i="4" s="1"/>
  <c r="B255" i="4" a="1"/>
  <c r="B255" i="4" s="1"/>
  <c r="B256" i="4" a="1"/>
  <c r="B256" i="4" s="1"/>
  <c r="B257" i="4" a="1"/>
  <c r="B257" i="4" s="1"/>
  <c r="B258" i="4" a="1"/>
  <c r="B258" i="4" s="1"/>
  <c r="B259" i="4" a="1"/>
  <c r="B259" i="4" s="1"/>
  <c r="B260" i="4" a="1"/>
  <c r="B260" i="4" s="1"/>
  <c r="B261" i="4" a="1"/>
  <c r="B261" i="4"/>
  <c r="B262" i="4" a="1"/>
  <c r="B262" i="4" s="1"/>
  <c r="B263" i="4" a="1"/>
  <c r="B263" i="4" s="1"/>
  <c r="B264" i="4" a="1"/>
  <c r="B264" i="4" s="1"/>
  <c r="B265" i="4" a="1"/>
  <c r="B265" i="4" s="1"/>
  <c r="B266" i="4" a="1"/>
  <c r="B266" i="4" s="1"/>
  <c r="B267" i="4" a="1"/>
  <c r="B267" i="4" s="1"/>
  <c r="B268" i="4" a="1"/>
  <c r="B268" i="4" s="1"/>
  <c r="B269" i="4" a="1"/>
  <c r="B269" i="4"/>
  <c r="B270" i="4" a="1"/>
  <c r="B270" i="4" s="1"/>
  <c r="B271" i="4" a="1"/>
  <c r="B271" i="4" s="1"/>
  <c r="B272" i="4" a="1"/>
  <c r="B272" i="4" s="1"/>
  <c r="B273" i="4" a="1"/>
  <c r="B273" i="4" s="1"/>
  <c r="B274" i="4" a="1"/>
  <c r="B274" i="4" s="1"/>
  <c r="B275" i="4" a="1"/>
  <c r="B275" i="4" s="1"/>
  <c r="B276" i="4" a="1"/>
  <c r="B276" i="4" s="1"/>
  <c r="B277" i="4" a="1"/>
  <c r="B277" i="4"/>
  <c r="B278" i="4" a="1"/>
  <c r="B278" i="4" s="1"/>
  <c r="B279" i="4" a="1"/>
  <c r="B279" i="4" s="1"/>
  <c r="B280" i="4" a="1"/>
  <c r="B280" i="4" s="1"/>
  <c r="B281" i="4" a="1"/>
  <c r="B281" i="4" s="1"/>
  <c r="B282" i="4" a="1"/>
  <c r="B282" i="4" s="1"/>
  <c r="B283" i="4" a="1"/>
  <c r="B283" i="4" s="1"/>
  <c r="B284" i="4" a="1"/>
  <c r="B284" i="4" s="1"/>
  <c r="B285" i="4" a="1"/>
  <c r="B285" i="4"/>
  <c r="B286" i="4" a="1"/>
  <c r="B286" i="4" s="1"/>
  <c r="B287" i="4" a="1"/>
  <c r="B287" i="4" s="1"/>
  <c r="B288" i="4" a="1"/>
  <c r="B288" i="4" s="1"/>
  <c r="B289" i="4" a="1"/>
  <c r="B289" i="4" s="1"/>
  <c r="B290" i="4" a="1"/>
  <c r="B290" i="4" s="1"/>
  <c r="B291" i="4" a="1"/>
  <c r="B291" i="4" s="1"/>
  <c r="B292" i="4" a="1"/>
  <c r="B292" i="4" s="1"/>
  <c r="B293" i="4" a="1"/>
  <c r="B293" i="4"/>
  <c r="B294" i="4" a="1"/>
  <c r="B294" i="4" s="1"/>
  <c r="B295" i="4" a="1"/>
  <c r="B295" i="4" s="1"/>
  <c r="B296" i="4" a="1"/>
  <c r="B296" i="4" s="1"/>
  <c r="B297" i="4" a="1"/>
  <c r="B297" i="4" s="1"/>
  <c r="B298" i="4" a="1"/>
  <c r="B298" i="4" s="1"/>
  <c r="B299" i="4" a="1"/>
  <c r="B299" i="4" s="1"/>
  <c r="B300" i="4" a="1"/>
  <c r="B300" i="4" s="1"/>
  <c r="B301" i="4" a="1"/>
  <c r="B301" i="4"/>
  <c r="B302" i="4" a="1"/>
  <c r="B302" i="4" s="1"/>
  <c r="B303" i="4" a="1"/>
  <c r="B303" i="4" s="1"/>
  <c r="B304" i="4" a="1"/>
  <c r="B304" i="4" s="1"/>
  <c r="B5" i="4" a="1"/>
  <c r="B5" i="4" s="1"/>
  <c r="D16" i="3" l="1"/>
  <c r="D15" i="3"/>
  <c r="D13" i="3"/>
  <c r="D18" i="3"/>
  <c r="D17" i="3"/>
  <c r="D14" i="3"/>
  <c r="D20" i="3"/>
  <c r="D4" i="3"/>
  <c r="D19" i="3"/>
  <c r="D10" i="3"/>
  <c r="D3" i="3"/>
  <c r="D9" i="3"/>
  <c r="D24" i="3"/>
  <c r="D8" i="3"/>
  <c r="D23" i="3"/>
  <c r="D7" i="3"/>
  <c r="D22" i="3"/>
  <c r="D6" i="3"/>
  <c r="D12" i="3"/>
  <c r="D11" i="3"/>
  <c r="D21" i="3"/>
  <c r="D2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<sst xmlns="http://schemas.openxmlformats.org/spreadsheetml/2006/main" count="38" uniqueCount="36">
  <si>
    <t>VARIABLE</t>
  </si>
  <si>
    <t>Pesos</t>
  </si>
  <si>
    <t>División</t>
  </si>
  <si>
    <t>Crítico (HIGH HIGH)</t>
  </si>
  <si>
    <t>Alarma (High)</t>
  </si>
  <si>
    <t>H</t>
  </si>
  <si>
    <t>HH</t>
  </si>
  <si>
    <t>v0</t>
  </si>
  <si>
    <t>V</t>
  </si>
  <si>
    <t>V0</t>
  </si>
  <si>
    <t>I(V)</t>
  </si>
  <si>
    <t>Aceleracion Chumacera Lado A Horizontal</t>
  </si>
  <si>
    <t>Velocidad Chumacera Lado A Horizontal</t>
  </si>
  <si>
    <t>Envolvente Chumacera Lado A Horizontal</t>
  </si>
  <si>
    <t>Aceleracion Chumacera Lado A Axial</t>
  </si>
  <si>
    <t>Velocidad Chumacera Lado A Axial</t>
  </si>
  <si>
    <t>Envolvente Chumacera Lado A Axial</t>
  </si>
  <si>
    <t>Aceleracion Chumacera Lado B Horizontal</t>
  </si>
  <si>
    <t>Velocidad Chumacera Lado B Horizontal</t>
  </si>
  <si>
    <t>Envolvente Chumacera Lado B Horizontal</t>
  </si>
  <si>
    <t>Corriente Motor A</t>
  </si>
  <si>
    <t>Corriente Motor B</t>
  </si>
  <si>
    <t>Temperatura Chumacera Lado A</t>
  </si>
  <si>
    <t>Temperatura Chumacera Lado B</t>
  </si>
  <si>
    <t>Desbalance Chumacera Lado A</t>
  </si>
  <si>
    <t>Desalineacion Radial Chumacera Lado A</t>
  </si>
  <si>
    <t>Soltura Chumacera Lado A</t>
  </si>
  <si>
    <t>Rodamiento Chumacera Lado A</t>
  </si>
  <si>
    <t>Desalineacion Angular Chumacera Lado A</t>
  </si>
  <si>
    <t>Desbalance Chumacera Lado B</t>
  </si>
  <si>
    <t>Desalineacion Chumacera Lado B</t>
  </si>
  <si>
    <t>Soltura Chumacera Lado B</t>
  </si>
  <si>
    <t>Rodamiento Chumacera Lado B</t>
  </si>
  <si>
    <t>Variables de condición Desfibradora</t>
  </si>
  <si>
    <t>ID</t>
  </si>
  <si>
    <t>Parametros del Assestment function para univariables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</si>
</sst>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2" fontId="0" fillId="0" borderId="1" xfId="0" applyNumberFormat="1" applyBorder="1"/>
    <xf numFmtId="164" fontId="0" fillId="0" borderId="1" xfId="0" applyNumberFormat="1" applyBorder="1"/>
    <xf numFmtId="2" fontId="0" fillId="0" borderId="0" xfId="0" applyNumberFormat="1"/>
    <xf numFmtId="0" fontId="0" fillId="0" borderId="1" xfId="0" applyBorder="1" applyAlignment="1">
      <alignment horizontal="left"/>
    </xf>
    <xf numFmtId="165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2" fontId="0" fillId="0" borderId="5" xfId="0" applyNumberFormat="1" applyBorder="1"/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D642147-D5A6-4718-96C9-8445582B3D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Model</a:t>
            </a:r>
            <a:r>
              <a:rPr lang="es-CO" b="1" baseline="0"/>
              <a:t>o Ejemplo Assesment Function</a:t>
            </a:r>
          </a:p>
          <a:p>
            <a:pPr>
              <a:defRPr b="1"/>
            </a:pPr>
            <a:r>
              <a:rPr lang="es-CO" sz="1200" b="1" baseline="0"/>
              <a:t>Velocidad [mm/s-rm]</a:t>
            </a:r>
            <a:endParaRPr lang="es-CO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xVal>
            <c:numRef>
              <c:f>Hoja3!$A$5:$A$304</c:f>
              <c:numCache>
                <c:formatCode>General</c:formatCode>
                <c:ptCount val="3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</c:numCache>
            </c:numRef>
          </c:xVal>
          <c:yVal>
            <c:numRef>
              <c:f>Hoja3!$B$5:$B$304</c:f>
              <c:numCache>
                <c:formatCode>0.00</c:formatCode>
                <c:ptCount val="3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4.9749999999999996</c:v>
                </c:pt>
                <c:pt idx="11">
                  <c:v>4.95</c:v>
                </c:pt>
                <c:pt idx="12">
                  <c:v>4.9249999999999998</c:v>
                </c:pt>
                <c:pt idx="13">
                  <c:v>4.9000000000000004</c:v>
                </c:pt>
                <c:pt idx="14">
                  <c:v>4.875</c:v>
                </c:pt>
                <c:pt idx="15">
                  <c:v>4.8499999999999996</c:v>
                </c:pt>
                <c:pt idx="16">
                  <c:v>4.8250000000000002</c:v>
                </c:pt>
                <c:pt idx="17">
                  <c:v>4.8</c:v>
                </c:pt>
                <c:pt idx="18">
                  <c:v>4.7750000000000004</c:v>
                </c:pt>
                <c:pt idx="19">
                  <c:v>4.75</c:v>
                </c:pt>
                <c:pt idx="20">
                  <c:v>4.7249999999999996</c:v>
                </c:pt>
                <c:pt idx="21">
                  <c:v>4.7</c:v>
                </c:pt>
                <c:pt idx="22">
                  <c:v>4.6749999999999998</c:v>
                </c:pt>
                <c:pt idx="23">
                  <c:v>4.6500000000000004</c:v>
                </c:pt>
                <c:pt idx="24">
                  <c:v>4.625</c:v>
                </c:pt>
                <c:pt idx="25">
                  <c:v>4.5999999999999996</c:v>
                </c:pt>
                <c:pt idx="26">
                  <c:v>4.5750000000000002</c:v>
                </c:pt>
                <c:pt idx="27">
                  <c:v>4.55</c:v>
                </c:pt>
                <c:pt idx="28">
                  <c:v>4.5250000000000004</c:v>
                </c:pt>
                <c:pt idx="29">
                  <c:v>4.5</c:v>
                </c:pt>
                <c:pt idx="30">
                  <c:v>4.4749999999999996</c:v>
                </c:pt>
                <c:pt idx="31">
                  <c:v>4.45</c:v>
                </c:pt>
                <c:pt idx="32">
                  <c:v>4.4249999999999998</c:v>
                </c:pt>
                <c:pt idx="33">
                  <c:v>4.4000000000000004</c:v>
                </c:pt>
                <c:pt idx="34">
                  <c:v>4.375</c:v>
                </c:pt>
                <c:pt idx="35">
                  <c:v>4.3499999999999996</c:v>
                </c:pt>
                <c:pt idx="36">
                  <c:v>4.3250000000000002</c:v>
                </c:pt>
                <c:pt idx="37">
                  <c:v>4.3</c:v>
                </c:pt>
                <c:pt idx="38">
                  <c:v>4.2750000000000004</c:v>
                </c:pt>
                <c:pt idx="39">
                  <c:v>4.25</c:v>
                </c:pt>
                <c:pt idx="40">
                  <c:v>4.2249999999999996</c:v>
                </c:pt>
                <c:pt idx="41">
                  <c:v>4.2</c:v>
                </c:pt>
                <c:pt idx="42">
                  <c:v>4.1749999999999998</c:v>
                </c:pt>
                <c:pt idx="43">
                  <c:v>4.1500000000000004</c:v>
                </c:pt>
                <c:pt idx="44">
                  <c:v>4.125</c:v>
                </c:pt>
                <c:pt idx="45">
                  <c:v>4.0999999999999996</c:v>
                </c:pt>
                <c:pt idx="46">
                  <c:v>4.0750000000000002</c:v>
                </c:pt>
                <c:pt idx="47">
                  <c:v>4.05</c:v>
                </c:pt>
                <c:pt idx="48">
                  <c:v>4.0250000000000004</c:v>
                </c:pt>
                <c:pt idx="49">
                  <c:v>4</c:v>
                </c:pt>
                <c:pt idx="50">
                  <c:v>3.9750000000000001</c:v>
                </c:pt>
                <c:pt idx="51">
                  <c:v>3.95</c:v>
                </c:pt>
                <c:pt idx="52">
                  <c:v>3.9249999999999998</c:v>
                </c:pt>
                <c:pt idx="53">
                  <c:v>3.9</c:v>
                </c:pt>
                <c:pt idx="54">
                  <c:v>3.875</c:v>
                </c:pt>
                <c:pt idx="55">
                  <c:v>3.85</c:v>
                </c:pt>
                <c:pt idx="56">
                  <c:v>3.8250000000000002</c:v>
                </c:pt>
                <c:pt idx="57">
                  <c:v>3.8</c:v>
                </c:pt>
                <c:pt idx="58">
                  <c:v>3.7749999999999999</c:v>
                </c:pt>
                <c:pt idx="59">
                  <c:v>3.75</c:v>
                </c:pt>
                <c:pt idx="60">
                  <c:v>3.7250000000000001</c:v>
                </c:pt>
                <c:pt idx="61">
                  <c:v>3.7</c:v>
                </c:pt>
                <c:pt idx="62">
                  <c:v>3.6749999999999998</c:v>
                </c:pt>
                <c:pt idx="63">
                  <c:v>3.65</c:v>
                </c:pt>
                <c:pt idx="64">
                  <c:v>3.625</c:v>
                </c:pt>
                <c:pt idx="65">
                  <c:v>3.6</c:v>
                </c:pt>
                <c:pt idx="66">
                  <c:v>3.5750000000000002</c:v>
                </c:pt>
                <c:pt idx="67">
                  <c:v>3.55</c:v>
                </c:pt>
                <c:pt idx="68">
                  <c:v>3.5249999999999999</c:v>
                </c:pt>
                <c:pt idx="69">
                  <c:v>3.5</c:v>
                </c:pt>
                <c:pt idx="70">
                  <c:v>3.4750000000000001</c:v>
                </c:pt>
                <c:pt idx="71">
                  <c:v>3.45</c:v>
                </c:pt>
                <c:pt idx="72">
                  <c:v>3.4249999999999998</c:v>
                </c:pt>
                <c:pt idx="73">
                  <c:v>3.4</c:v>
                </c:pt>
                <c:pt idx="74">
                  <c:v>3.375</c:v>
                </c:pt>
                <c:pt idx="75">
                  <c:v>3.35</c:v>
                </c:pt>
                <c:pt idx="76">
                  <c:v>3.3250000000000002</c:v>
                </c:pt>
                <c:pt idx="77">
                  <c:v>3.3</c:v>
                </c:pt>
                <c:pt idx="78">
                  <c:v>3.2749999999999999</c:v>
                </c:pt>
                <c:pt idx="79">
                  <c:v>3.25</c:v>
                </c:pt>
                <c:pt idx="80">
                  <c:v>3.2250000000000001</c:v>
                </c:pt>
                <c:pt idx="81">
                  <c:v>3.2</c:v>
                </c:pt>
                <c:pt idx="82">
                  <c:v>3.1749999999999998</c:v>
                </c:pt>
                <c:pt idx="83">
                  <c:v>3.15</c:v>
                </c:pt>
                <c:pt idx="84">
                  <c:v>3.125</c:v>
                </c:pt>
                <c:pt idx="85">
                  <c:v>3.1</c:v>
                </c:pt>
                <c:pt idx="86">
                  <c:v>3.0750000000000002</c:v>
                </c:pt>
                <c:pt idx="87">
                  <c:v>3.05</c:v>
                </c:pt>
                <c:pt idx="88">
                  <c:v>3.0249999999999999</c:v>
                </c:pt>
                <c:pt idx="89">
                  <c:v>3</c:v>
                </c:pt>
                <c:pt idx="90">
                  <c:v>2.9615384615384617</c:v>
                </c:pt>
                <c:pt idx="91">
                  <c:v>2.9230769230769234</c:v>
                </c:pt>
                <c:pt idx="92">
                  <c:v>2.8846153846153841</c:v>
                </c:pt>
                <c:pt idx="93">
                  <c:v>2.8461538461538458</c:v>
                </c:pt>
                <c:pt idx="94">
                  <c:v>2.8076923076923075</c:v>
                </c:pt>
                <c:pt idx="95">
                  <c:v>2.7692307692307692</c:v>
                </c:pt>
                <c:pt idx="96">
                  <c:v>2.7307692307692308</c:v>
                </c:pt>
                <c:pt idx="97">
                  <c:v>2.6923076923076921</c:v>
                </c:pt>
                <c:pt idx="98">
                  <c:v>2.6538461538461537</c:v>
                </c:pt>
                <c:pt idx="99">
                  <c:v>2.6153846153846154</c:v>
                </c:pt>
                <c:pt idx="100">
                  <c:v>2.5769230769230771</c:v>
                </c:pt>
                <c:pt idx="101">
                  <c:v>2.5384615384615388</c:v>
                </c:pt>
                <c:pt idx="102">
                  <c:v>2.4999999999999996</c:v>
                </c:pt>
                <c:pt idx="103">
                  <c:v>2.4615384615384612</c:v>
                </c:pt>
                <c:pt idx="104">
                  <c:v>2.4230769230769229</c:v>
                </c:pt>
                <c:pt idx="105">
                  <c:v>2.3846153846153846</c:v>
                </c:pt>
                <c:pt idx="106">
                  <c:v>2.3461538461538463</c:v>
                </c:pt>
                <c:pt idx="107">
                  <c:v>2.3076923076923075</c:v>
                </c:pt>
                <c:pt idx="108">
                  <c:v>2.2692307692307692</c:v>
                </c:pt>
                <c:pt idx="109">
                  <c:v>2.2307692307692308</c:v>
                </c:pt>
                <c:pt idx="110">
                  <c:v>2.1923076923076925</c:v>
                </c:pt>
                <c:pt idx="111">
                  <c:v>2.1538461538461542</c:v>
                </c:pt>
                <c:pt idx="112">
                  <c:v>2.115384615384615</c:v>
                </c:pt>
                <c:pt idx="113">
                  <c:v>2.0769230769230766</c:v>
                </c:pt>
                <c:pt idx="114">
                  <c:v>2.0384615384615383</c:v>
                </c:pt>
                <c:pt idx="115">
                  <c:v>2</c:v>
                </c:pt>
                <c:pt idx="116">
                  <c:v>1.9615384615384617</c:v>
                </c:pt>
                <c:pt idx="117">
                  <c:v>1.9230769230769227</c:v>
                </c:pt>
                <c:pt idx="118">
                  <c:v>1.8846153846153844</c:v>
                </c:pt>
                <c:pt idx="119">
                  <c:v>1.8461538461538458</c:v>
                </c:pt>
                <c:pt idx="120">
                  <c:v>1.8076923076923075</c:v>
                </c:pt>
                <c:pt idx="121">
                  <c:v>1.7692307692307692</c:v>
                </c:pt>
                <c:pt idx="122">
                  <c:v>1.7307692307692302</c:v>
                </c:pt>
                <c:pt idx="123">
                  <c:v>1.6923076923076918</c:v>
                </c:pt>
                <c:pt idx="124">
                  <c:v>1.6538461538461535</c:v>
                </c:pt>
                <c:pt idx="125">
                  <c:v>1.6153846153846152</c:v>
                </c:pt>
                <c:pt idx="126">
                  <c:v>1.5769230769230769</c:v>
                </c:pt>
                <c:pt idx="127">
                  <c:v>1.5384615384615379</c:v>
                </c:pt>
                <c:pt idx="128">
                  <c:v>1.4999999999999996</c:v>
                </c:pt>
                <c:pt idx="129">
                  <c:v>1.4615384615384612</c:v>
                </c:pt>
                <c:pt idx="130">
                  <c:v>1.4230769230769229</c:v>
                </c:pt>
                <c:pt idx="131">
                  <c:v>1.3846153846153846</c:v>
                </c:pt>
                <c:pt idx="132">
                  <c:v>1.3461538461538456</c:v>
                </c:pt>
                <c:pt idx="133">
                  <c:v>1.3076923076923073</c:v>
                </c:pt>
                <c:pt idx="134">
                  <c:v>1.2692307692307689</c:v>
                </c:pt>
                <c:pt idx="135">
                  <c:v>1.2307692307692306</c:v>
                </c:pt>
                <c:pt idx="136">
                  <c:v>1.1923076923076923</c:v>
                </c:pt>
                <c:pt idx="137">
                  <c:v>1.1538461538461533</c:v>
                </c:pt>
                <c:pt idx="138">
                  <c:v>1.115384615384615</c:v>
                </c:pt>
                <c:pt idx="139">
                  <c:v>1.0769230769230766</c:v>
                </c:pt>
                <c:pt idx="140">
                  <c:v>1.0384615384615381</c:v>
                </c:pt>
                <c:pt idx="141">
                  <c:v>1</c:v>
                </c:pt>
                <c:pt idx="142">
                  <c:v>0.98391537368707482</c:v>
                </c:pt>
                <c:pt idx="143">
                  <c:v>0.96808946257777639</c:v>
                </c:pt>
                <c:pt idx="144">
                  <c:v>0.95251810533473258</c:v>
                </c:pt>
                <c:pt idx="145">
                  <c:v>0.93719720755412816</c:v>
                </c:pt>
                <c:pt idx="146">
                  <c:v>0.92212274068910327</c:v>
                </c:pt>
                <c:pt idx="147">
                  <c:v>0.90729074099046869</c:v>
                </c:pt>
                <c:pt idx="148">
                  <c:v>0.89269730846446027</c:v>
                </c:pt>
                <c:pt idx="149">
                  <c:v>0.87833860584725565</c:v>
                </c:pt>
                <c:pt idx="150">
                  <c:v>0.86421085759598704</c:v>
                </c:pt>
                <c:pt idx="151">
                  <c:v>0.85031034889598323</c:v>
                </c:pt>
                <c:pt idx="152">
                  <c:v>0.83663342468397839</c:v>
                </c:pt>
                <c:pt idx="153">
                  <c:v>0.82317648868703397</c:v>
                </c:pt>
                <c:pt idx="154">
                  <c:v>0.80993600247691733</c:v>
                </c:pt>
                <c:pt idx="155">
                  <c:v>0.79690848453969199</c:v>
                </c:pt>
                <c:pt idx="156">
                  <c:v>0.78409050936027169</c:v>
                </c:pt>
                <c:pt idx="157">
                  <c:v>0.77147870652170059</c:v>
                </c:pt>
                <c:pt idx="158">
                  <c:v>0.75906975981892044</c:v>
                </c:pt>
                <c:pt idx="159">
                  <c:v>0.74686040638679141</c:v>
                </c:pt>
                <c:pt idx="160">
                  <c:v>0.73484743584214041</c:v>
                </c:pt>
                <c:pt idx="161">
                  <c:v>0.72302768943960882</c:v>
                </c:pt>
                <c:pt idx="162">
                  <c:v>0.71139805924107502</c:v>
                </c:pt>
                <c:pt idx="163">
                  <c:v>0.69995548729844248</c:v>
                </c:pt>
                <c:pt idx="164">
                  <c:v>0.68869696484956555</c:v>
                </c:pt>
                <c:pt idx="165">
                  <c:v>0.67761953152711452</c:v>
                </c:pt>
                <c:pt idx="166">
                  <c:v>0.66672027458016192</c:v>
                </c:pt>
                <c:pt idx="167">
                  <c:v>0.65599632810828912</c:v>
                </c:pt>
                <c:pt idx="168">
                  <c:v>0.64544487230801662</c:v>
                </c:pt>
                <c:pt idx="169">
                  <c:v>0.63506313273134851</c:v>
                </c:pt>
                <c:pt idx="170">
                  <c:v>0.62484837955624917</c:v>
                </c:pt>
                <c:pt idx="171">
                  <c:v>0.61479792686885038</c:v>
                </c:pt>
                <c:pt idx="172">
                  <c:v>0.60490913195720386</c:v>
                </c:pt>
                <c:pt idx="173">
                  <c:v>0.59517939461639668</c:v>
                </c:pt>
                <c:pt idx="174">
                  <c:v>0.58560615646483882</c:v>
                </c:pt>
                <c:pt idx="175">
                  <c:v>0.5761869002715535</c:v>
                </c:pt>
                <c:pt idx="176">
                  <c:v>0.56691914929428322</c:v>
                </c:pt>
                <c:pt idx="177">
                  <c:v>0.55780046662824323</c:v>
                </c:pt>
                <c:pt idx="178">
                  <c:v>0.5488284545653529</c:v>
                </c:pt>
                <c:pt idx="179">
                  <c:v>0.54000075396376901</c:v>
                </c:pt>
                <c:pt idx="180">
                  <c:v>0.53131504362756388</c:v>
                </c:pt>
                <c:pt idx="181">
                  <c:v>0.52276903969637945</c:v>
                </c:pt>
                <c:pt idx="182">
                  <c:v>0.51436049504489634</c:v>
                </c:pt>
                <c:pt idx="183">
                  <c:v>0.50608719869196828</c:v>
                </c:pt>
                <c:pt idx="184">
                  <c:v>0.49794697521925291</c:v>
                </c:pt>
                <c:pt idx="185">
                  <c:v>0.48993768419919981</c:v>
                </c:pt>
                <c:pt idx="186">
                  <c:v>0.48205721963223597</c:v>
                </c:pt>
                <c:pt idx="187">
                  <c:v>0.47430350939300375</c:v>
                </c:pt>
                <c:pt idx="188">
                  <c:v>0.46667451468550858</c:v>
                </c:pt>
                <c:pt idx="189">
                  <c:v>0.45916822950702652</c:v>
                </c:pt>
                <c:pt idx="190">
                  <c:v>0.45178268012063849</c:v>
                </c:pt>
                <c:pt idx="191">
                  <c:v>0.44451592453624644</c:v>
                </c:pt>
                <c:pt idx="192">
                  <c:v>0.4373660519999365</c:v>
                </c:pt>
                <c:pt idx="193">
                  <c:v>0.43033118249155838</c:v>
                </c:pt>
                <c:pt idx="194">
                  <c:v>0.4234094662303825</c:v>
                </c:pt>
                <c:pt idx="195">
                  <c:v>0.41659908318871164</c:v>
                </c:pt>
                <c:pt idx="196">
                  <c:v>0.4098982426133142</c:v>
                </c:pt>
                <c:pt idx="197">
                  <c:v>0.40330518255455433</c:v>
                </c:pt>
                <c:pt idx="198">
                  <c:v>0.3968181694030985</c:v>
                </c:pt>
                <c:pt idx="199">
                  <c:v>0.39043549743407063</c:v>
                </c:pt>
                <c:pt idx="200">
                  <c:v>0.38415548835854252</c:v>
                </c:pt>
                <c:pt idx="201">
                  <c:v>0.37797649088223628</c:v>
                </c:pt>
                <c:pt idx="202">
                  <c:v>0.37189688027132478</c:v>
                </c:pt>
                <c:pt idx="203">
                  <c:v>0.365915057925218</c:v>
                </c:pt>
                <c:pt idx="204">
                  <c:v>0.36002945095621858</c:v>
                </c:pt>
                <c:pt idx="205">
                  <c:v>0.35423851177594012</c:v>
                </c:pt>
                <c:pt idx="206">
                  <c:v>0.34854071768837763</c:v>
                </c:pt>
                <c:pt idx="207">
                  <c:v>0.34293457048952131</c:v>
                </c:pt>
                <c:pt idx="208">
                  <c:v>0.33741859607341407</c:v>
                </c:pt>
                <c:pt idx="209">
                  <c:v>0.33199134404454134</c:v>
                </c:pt>
                <c:pt idx="210">
                  <c:v>0.3266513873364591</c:v>
                </c:pt>
                <c:pt idx="211">
                  <c:v>0.32139732183655384</c:v>
                </c:pt>
                <c:pt idx="212">
                  <c:v>0.31622776601683789</c:v>
                </c:pt>
                <c:pt idx="213">
                  <c:v>0.31114136057068603</c:v>
                </c:pt>
                <c:pt idx="214">
                  <c:v>0.30613676805541151</c:v>
                </c:pt>
                <c:pt idx="215">
                  <c:v>0.30121267254059353</c:v>
                </c:pt>
                <c:pt idx="216">
                  <c:v>0.2963677792620607</c:v>
                </c:pt>
                <c:pt idx="217">
                  <c:v>0.29160081428143902</c:v>
                </c:pt>
                <c:pt idx="218">
                  <c:v>0.28691052415117757</c:v>
                </c:pt>
                <c:pt idx="219">
                  <c:v>0.28229567558496044</c:v>
                </c:pt>
                <c:pt idx="220">
                  <c:v>0.27775505513342158</c:v>
                </c:pt>
                <c:pt idx="221">
                  <c:v>0.27328746886507471</c:v>
                </c:pt>
                <c:pt idx="222">
                  <c:v>0.26889174205237482</c:v>
                </c:pt>
                <c:pt idx="223">
                  <c:v>0.26456671886283095</c:v>
                </c:pt>
                <c:pt idx="224">
                  <c:v>0.26031126205508565</c:v>
                </c:pt>
                <c:pt idx="225">
                  <c:v>0.25612425267988365</c:v>
                </c:pt>
                <c:pt idx="226">
                  <c:v>0.25200458978585072</c:v>
                </c:pt>
                <c:pt idx="227">
                  <c:v>0.24795119013000327</c:v>
                </c:pt>
                <c:pt idx="228">
                  <c:v>0.2439629878929172</c:v>
                </c:pt>
                <c:pt idx="229">
                  <c:v>0.24003893439847498</c:v>
                </c:pt>
                <c:pt idx="230">
                  <c:v>0.23617799783812274</c:v>
                </c:pt>
                <c:pt idx="231">
                  <c:v>0.23237916299956179</c:v>
                </c:pt>
                <c:pt idx="232">
                  <c:v>0.22864143099980355</c:v>
                </c:pt>
                <c:pt idx="233">
                  <c:v>0.22496381902251933</c:v>
                </c:pt>
                <c:pt idx="234">
                  <c:v>0.22134536005961361</c:v>
                </c:pt>
                <c:pt idx="235">
                  <c:v>0.21778510265695483</c:v>
                </c:pt>
                <c:pt idx="236">
                  <c:v>0.21428211066419581</c:v>
                </c:pt>
                <c:pt idx="237">
                  <c:v>0.21083546298861736</c:v>
                </c:pt>
                <c:pt idx="238">
                  <c:v>0.20744425335293298</c:v>
                </c:pt>
                <c:pt idx="239">
                  <c:v>0.20410759005698731</c:v>
                </c:pt>
                <c:pt idx="240">
                  <c:v>0.20082459574328893</c:v>
                </c:pt>
                <c:pt idx="241">
                  <c:v>0.19759440716631393</c:v>
                </c:pt>
                <c:pt idx="242">
                  <c:v>0.19441617496551983</c:v>
                </c:pt>
                <c:pt idx="243">
                  <c:v>0.19128906344201127</c:v>
                </c:pt>
                <c:pt idx="244">
                  <c:v>0.18821225033879713</c:v>
                </c:pt>
                <c:pt idx="245">
                  <c:v>0.18518492662458283</c:v>
                </c:pt>
                <c:pt idx="246">
                  <c:v>0.18220629628104001</c:v>
                </c:pt>
                <c:pt idx="247">
                  <c:v>0.1792755760934974</c:v>
                </c:pt>
                <c:pt idx="248">
                  <c:v>0.17639199544499917</c:v>
                </c:pt>
                <c:pt idx="249">
                  <c:v>0.17355479611367516</c:v>
                </c:pt>
                <c:pt idx="250">
                  <c:v>0.1707632320733708</c:v>
                </c:pt>
                <c:pt idx="251">
                  <c:v>0.16801656929748338</c:v>
                </c:pt>
                <c:pt idx="252">
                  <c:v>0.1653140855659537</c:v>
                </c:pt>
                <c:pt idx="253">
                  <c:v>0.1626550702753625</c:v>
                </c:pt>
                <c:pt idx="254">
                  <c:v>0.16003882425208069</c:v>
                </c:pt>
                <c:pt idx="255">
                  <c:v>0.15746465956842609</c:v>
                </c:pt>
                <c:pt idx="256">
                  <c:v>0.15493189936177604</c:v>
                </c:pt>
                <c:pt idx="257">
                  <c:v>0.15243987765659017</c:v>
                </c:pt>
                <c:pt idx="258">
                  <c:v>0.14998793918929595</c:v>
                </c:pt>
                <c:pt idx="259">
                  <c:v>0.14757543923599037</c:v>
                </c:pt>
                <c:pt idx="260">
                  <c:v>0.14520174344291367</c:v>
                </c:pt>
                <c:pt idx="261">
                  <c:v>0.14286622765964924</c:v>
                </c:pt>
                <c:pt idx="262">
                  <c:v>0.14056827777500649</c:v>
                </c:pt>
                <c:pt idx="263">
                  <c:v>0.13830728955554414</c:v>
                </c:pt>
                <c:pt idx="264">
                  <c:v>0.13608266848668968</c:v>
                </c:pt>
                <c:pt idx="265">
                  <c:v>0.13389382961641558</c:v>
                </c:pt>
                <c:pt idx="266">
                  <c:v>0.13174019740142917</c:v>
                </c:pt>
                <c:pt idx="267">
                  <c:v>0.1296212055558362</c:v>
                </c:pt>
                <c:pt idx="268">
                  <c:v>0.12753629690223975</c:v>
                </c:pt>
                <c:pt idx="269">
                  <c:v>0.12548492322523294</c:v>
                </c:pt>
                <c:pt idx="270">
                  <c:v>0.12346654512724896</c:v>
                </c:pt>
                <c:pt idx="271">
                  <c:v>0.12148063188672935</c:v>
                </c:pt>
                <c:pt idx="272">
                  <c:v>0.11952666131857327</c:v>
                </c:pt>
                <c:pt idx="273">
                  <c:v>0.11760411963683255</c:v>
                </c:pt>
                <c:pt idx="274">
                  <c:v>0.11571250131961355</c:v>
                </c:pt>
                <c:pt idx="275">
                  <c:v>0.1138513089761537</c:v>
                </c:pt>
                <c:pt idx="276">
                  <c:v>0.11202005321603492</c:v>
                </c:pt>
                <c:pt idx="277">
                  <c:v>0.11021825252050101</c:v>
                </c:pt>
                <c:pt idx="278">
                  <c:v>0.10844543311584516</c:v>
                </c:pt>
                <c:pt idx="279">
                  <c:v>0.10670112884883352</c:v>
                </c:pt>
                <c:pt idx="280">
                  <c:v>0.10498488106413274</c:v>
                </c:pt>
                <c:pt idx="281">
                  <c:v>0.10329623848370936</c:v>
                </c:pt>
                <c:pt idx="282">
                  <c:v>0.10163475708816809</c:v>
                </c:pt>
                <c:pt idx="283">
                  <c:v>0.1</c:v>
                </c:pt>
                <c:pt idx="284">
                  <c:v>9.8391537368707538E-2</c:v>
                </c:pt>
                <c:pt idx="285">
                  <c:v>9.6808946257777626E-2</c:v>
                </c:pt>
                <c:pt idx="286">
                  <c:v>9.5251810533473286E-2</c:v>
                </c:pt>
                <c:pt idx="287">
                  <c:v>9.3719720755412822E-2</c:v>
                </c:pt>
                <c:pt idx="288">
                  <c:v>9.2212274068910388E-2</c:v>
                </c:pt>
                <c:pt idx="289">
                  <c:v>9.0729074099046875E-2</c:v>
                </c:pt>
                <c:pt idx="290">
                  <c:v>8.9269730846446044E-2</c:v>
                </c:pt>
                <c:pt idx="291">
                  <c:v>8.7833860584725545E-2</c:v>
                </c:pt>
                <c:pt idx="292">
                  <c:v>8.6421085759598698E-2</c:v>
                </c:pt>
                <c:pt idx="293">
                  <c:v>8.5031034889598359E-2</c:v>
                </c:pt>
                <c:pt idx="294">
                  <c:v>8.3663342468397864E-2</c:v>
                </c:pt>
                <c:pt idx="295">
                  <c:v>8.2317648868703394E-2</c:v>
                </c:pt>
                <c:pt idx="296">
                  <c:v>8.0993600247691755E-2</c:v>
                </c:pt>
                <c:pt idx="297">
                  <c:v>7.9690848453969218E-2</c:v>
                </c:pt>
                <c:pt idx="298">
                  <c:v>7.8409050936027166E-2</c:v>
                </c:pt>
                <c:pt idx="299">
                  <c:v>7.7147870652170075E-2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BB-4347-B6FD-AB79D9ECD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902495"/>
        <c:axId val="1437880895"/>
      </c:scatterChart>
      <c:valAx>
        <c:axId val="1437902495"/>
        <c:scaling>
          <c:orientation val="minMax"/>
          <c:max val="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 de la variable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7880895"/>
        <c:crosses val="autoZero"/>
        <c:crossBetween val="midCat"/>
        <c:majorUnit val="1"/>
      </c:valAx>
      <c:valAx>
        <c:axId val="143788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Assesment</a:t>
                </a:r>
                <a:r>
                  <a:rPr lang="es-CO" baseline="0"/>
                  <a:t> Output I(V)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790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122766</xdr:colOff>
      <xdr:row>1</xdr:row>
      <xdr:rowOff>62230</xdr:rowOff>
    </xdr:from>
    <xdr:to>
      <xdr:col>12</xdr:col>
      <xdr:colOff>270933</xdr:colOff>
      <xdr:row>26</xdr:row>
      <xdr:rowOff>118534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4255-96A1-4D2F-AEB3-1023D3EF0B29}">
  <dimension ref="A1:I25"/>
  <sheetViews>
    <sheetView tabSelected="1" zoomScale="98" zoomScaleNormal="98" workbookViewId="0">
      <selection activeCell="D25" sqref="D25"/>
    </sheetView>
  </sheetViews>
  <sheetFormatPr baseColWidth="10" defaultRowHeight="14.4" x14ac:dyDescent="0.3"/>
  <cols>
    <col min="2" max="2" width="38.21875" bestFit="1" customWidth="1"/>
    <col min="3" max="4" width="25.77734375" customWidth="1"/>
    <col min="5" max="5" width="28" customWidth="1"/>
    <col min="6" max="6" width="21.44140625" customWidth="1"/>
    <col min="7" max="7" width="16.5546875" customWidth="1"/>
    <col min="8" max="8" width="16.6640625" customWidth="1"/>
    <col min="9" max="9" width="16.5546875" customWidth="1"/>
  </cols>
  <sheetData>
    <row r="1" spans="1:9" ht="15" thickBot="1" x14ac:dyDescent="0.35">
      <c r="A1" s="19" t="s">
        <v>33</v>
      </c>
      <c r="B1" s="20"/>
      <c r="C1" s="20"/>
      <c r="D1" s="20"/>
      <c r="E1" s="20"/>
      <c r="F1" s="21"/>
      <c r="G1" s="17" t="s">
        <v>35</v>
      </c>
      <c r="H1" s="17"/>
      <c r="I1" s="18"/>
    </row>
    <row r="2" spans="1:9" ht="16.2" thickBot="1" x14ac:dyDescent="0.35">
      <c r="A2" s="12" t="s">
        <v>34</v>
      </c>
      <c r="B2" s="13" t="s">
        <v>0</v>
      </c>
      <c r="C2" s="14" t="s">
        <v>1</v>
      </c>
      <c r="D2" s="14" t="s">
        <v>2</v>
      </c>
      <c r="E2" s="14" t="s">
        <v>4</v>
      </c>
      <c r="F2" s="15" t="s">
        <v>3</v>
      </c>
      <c r="G2" s="13" t="s">
        <v>5</v>
      </c>
      <c r="H2" s="13" t="s">
        <v>6</v>
      </c>
      <c r="I2" s="16" t="s">
        <v>9</v>
      </c>
    </row>
    <row r="3" spans="1:9" x14ac:dyDescent="0.3">
      <c r="A3" s="7">
        <v>1</v>
      </c>
      <c r="B3" s="9" t="s">
        <v>11</v>
      </c>
      <c r="C3" s="10">
        <v>3.6</v>
      </c>
      <c r="D3" s="5">
        <f>C3/$C$25</f>
        <v>4.9315068493150697E-2</v>
      </c>
      <c r="E3" s="11"/>
      <c r="F3" s="11"/>
      <c r="G3" s="11"/>
      <c r="H3" s="11"/>
      <c r="I3" s="11"/>
    </row>
    <row r="4" spans="1:9" x14ac:dyDescent="0.3">
      <c r="A4" s="8">
        <v>2</v>
      </c>
      <c r="B4" s="4" t="s">
        <v>12</v>
      </c>
      <c r="C4" s="6">
        <v>3.8</v>
      </c>
      <c r="D4" s="5">
        <f t="shared" ref="D4:D24" si="0">C4/$C$25</f>
        <v>5.2054794520547953E-2</v>
      </c>
      <c r="E4" s="2"/>
      <c r="F4" s="1"/>
      <c r="G4" s="1"/>
      <c r="H4" s="1"/>
      <c r="I4" s="1"/>
    </row>
    <row r="5" spans="1:9" x14ac:dyDescent="0.3">
      <c r="A5" s="8">
        <v>3</v>
      </c>
      <c r="B5" s="4" t="s">
        <v>13</v>
      </c>
      <c r="C5" s="6">
        <v>3.2</v>
      </c>
      <c r="D5" s="5">
        <f t="shared" si="0"/>
        <v>4.3835616438356179E-2</v>
      </c>
      <c r="E5" s="2"/>
      <c r="F5" s="1"/>
      <c r="G5" s="1"/>
      <c r="H5" s="1"/>
      <c r="I5" s="1"/>
    </row>
    <row r="6" spans="1:9" x14ac:dyDescent="0.3">
      <c r="A6" s="8">
        <v>5</v>
      </c>
      <c r="B6" s="4" t="s">
        <v>14</v>
      </c>
      <c r="C6" s="6">
        <v>3.6</v>
      </c>
      <c r="D6" s="5">
        <f t="shared" si="0"/>
        <v>4.9315068493150697E-2</v>
      </c>
      <c r="E6" s="1"/>
      <c r="F6" s="1"/>
      <c r="G6" s="1"/>
      <c r="H6" s="1"/>
      <c r="I6" s="1"/>
    </row>
    <row r="7" spans="1:9" x14ac:dyDescent="0.3">
      <c r="A7" s="8">
        <v>6</v>
      </c>
      <c r="B7" s="4" t="s">
        <v>15</v>
      </c>
      <c r="C7" s="6">
        <v>3.2</v>
      </c>
      <c r="D7" s="5">
        <f t="shared" si="0"/>
        <v>4.3835616438356179E-2</v>
      </c>
      <c r="E7" s="2"/>
      <c r="F7" s="1"/>
      <c r="G7" s="1"/>
      <c r="H7" s="1"/>
      <c r="I7" s="1"/>
    </row>
    <row r="8" spans="1:9" x14ac:dyDescent="0.3">
      <c r="A8" s="8">
        <v>7</v>
      </c>
      <c r="B8" s="4" t="s">
        <v>16</v>
      </c>
      <c r="C8" s="6">
        <v>3.6</v>
      </c>
      <c r="D8" s="5">
        <f t="shared" si="0"/>
        <v>4.9315068493150697E-2</v>
      </c>
      <c r="E8" s="2"/>
      <c r="F8" s="1"/>
      <c r="G8" s="1"/>
      <c r="H8" s="1"/>
      <c r="I8" s="1"/>
    </row>
    <row r="9" spans="1:9" x14ac:dyDescent="0.3">
      <c r="A9" s="8">
        <v>9</v>
      </c>
      <c r="B9" s="4" t="s">
        <v>17</v>
      </c>
      <c r="C9" s="6">
        <v>3.6</v>
      </c>
      <c r="D9" s="5">
        <f t="shared" si="0"/>
        <v>4.9315068493150697E-2</v>
      </c>
      <c r="E9" s="1"/>
      <c r="F9" s="1"/>
      <c r="G9" s="1"/>
      <c r="H9" s="1"/>
      <c r="I9" s="1"/>
    </row>
    <row r="10" spans="1:9" x14ac:dyDescent="0.3">
      <c r="A10" s="8">
        <v>10</v>
      </c>
      <c r="B10" s="4" t="s">
        <v>18</v>
      </c>
      <c r="C10" s="6">
        <v>3.4</v>
      </c>
      <c r="D10" s="5">
        <f t="shared" si="0"/>
        <v>4.6575342465753435E-2</v>
      </c>
      <c r="E10" s="2"/>
      <c r="F10" s="1"/>
      <c r="G10" s="1"/>
      <c r="H10" s="1"/>
      <c r="I10" s="1"/>
    </row>
    <row r="11" spans="1:9" x14ac:dyDescent="0.3">
      <c r="A11" s="8">
        <v>11</v>
      </c>
      <c r="B11" s="4" t="s">
        <v>19</v>
      </c>
      <c r="C11" s="6">
        <v>2.8</v>
      </c>
      <c r="D11" s="5">
        <f t="shared" si="0"/>
        <v>3.8356164383561646E-2</v>
      </c>
      <c r="E11" s="2"/>
      <c r="F11" s="2"/>
      <c r="G11" s="2"/>
      <c r="H11" s="2"/>
      <c r="I11" s="1"/>
    </row>
    <row r="12" spans="1:9" x14ac:dyDescent="0.3">
      <c r="A12" s="8">
        <v>24</v>
      </c>
      <c r="B12" s="4" t="s">
        <v>20</v>
      </c>
      <c r="C12" s="6">
        <v>2.6</v>
      </c>
      <c r="D12" s="5">
        <f t="shared" si="0"/>
        <v>3.561643835616439E-2</v>
      </c>
      <c r="E12" s="2"/>
      <c r="F12" s="2"/>
      <c r="G12" s="2"/>
      <c r="H12" s="2"/>
      <c r="I12" s="1"/>
    </row>
    <row r="13" spans="1:9" x14ac:dyDescent="0.3">
      <c r="A13" s="8">
        <v>25</v>
      </c>
      <c r="B13" s="4" t="s">
        <v>21</v>
      </c>
      <c r="C13" s="6">
        <v>2.6</v>
      </c>
      <c r="D13" s="5">
        <f t="shared" si="0"/>
        <v>3.561643835616439E-2</v>
      </c>
      <c r="E13" s="2"/>
      <c r="F13" s="2"/>
      <c r="G13" s="2"/>
      <c r="H13" s="2"/>
      <c r="I13" s="1"/>
    </row>
    <row r="14" spans="1:9" x14ac:dyDescent="0.3">
      <c r="A14" s="8">
        <v>26</v>
      </c>
      <c r="B14" s="4" t="s">
        <v>22</v>
      </c>
      <c r="C14" s="6">
        <v>3.8</v>
      </c>
      <c r="D14" s="5">
        <f t="shared" si="0"/>
        <v>5.2054794520547953E-2</v>
      </c>
      <c r="E14" s="2"/>
      <c r="F14" s="2"/>
      <c r="G14" s="2"/>
      <c r="H14" s="2"/>
      <c r="I14" s="1"/>
    </row>
    <row r="15" spans="1:9" x14ac:dyDescent="0.3">
      <c r="A15" s="8">
        <v>27</v>
      </c>
      <c r="B15" s="4" t="s">
        <v>23</v>
      </c>
      <c r="C15" s="6">
        <v>3.8</v>
      </c>
      <c r="D15" s="5">
        <f t="shared" si="0"/>
        <v>5.2054794520547953E-2</v>
      </c>
      <c r="E15" s="2"/>
      <c r="F15" s="2"/>
      <c r="G15" s="2"/>
      <c r="H15" s="2"/>
      <c r="I15" s="1"/>
    </row>
    <row r="16" spans="1:9" x14ac:dyDescent="0.3">
      <c r="A16" s="8">
        <v>28</v>
      </c>
      <c r="B16" s="4" t="s">
        <v>24</v>
      </c>
      <c r="C16" s="6">
        <v>3</v>
      </c>
      <c r="D16" s="5">
        <f t="shared" si="0"/>
        <v>4.1095890410958909E-2</v>
      </c>
      <c r="E16" s="2"/>
      <c r="F16" s="1"/>
      <c r="G16" s="2"/>
      <c r="H16" s="1"/>
      <c r="I16" s="1"/>
    </row>
    <row r="17" spans="1:9" x14ac:dyDescent="0.3">
      <c r="A17" s="8">
        <v>29</v>
      </c>
      <c r="B17" s="4" t="s">
        <v>25</v>
      </c>
      <c r="C17" s="6">
        <v>3.2</v>
      </c>
      <c r="D17" s="5">
        <f t="shared" si="0"/>
        <v>4.3835616438356179E-2</v>
      </c>
      <c r="E17" s="2"/>
      <c r="F17" s="1"/>
      <c r="G17" s="2"/>
      <c r="H17" s="1"/>
      <c r="I17" s="1"/>
    </row>
    <row r="18" spans="1:9" x14ac:dyDescent="0.3">
      <c r="A18" s="8">
        <v>30</v>
      </c>
      <c r="B18" s="4" t="s">
        <v>26</v>
      </c>
      <c r="C18" s="6">
        <v>3.4</v>
      </c>
      <c r="D18" s="5">
        <f t="shared" si="0"/>
        <v>4.6575342465753435E-2</v>
      </c>
      <c r="E18" s="2"/>
      <c r="F18" s="2"/>
      <c r="G18" s="2"/>
      <c r="H18" s="1"/>
      <c r="I18" s="1"/>
    </row>
    <row r="19" spans="1:9" x14ac:dyDescent="0.3">
      <c r="A19" s="8">
        <v>31</v>
      </c>
      <c r="B19" s="4" t="s">
        <v>27</v>
      </c>
      <c r="C19" s="6">
        <v>3.4</v>
      </c>
      <c r="D19" s="5">
        <f t="shared" si="0"/>
        <v>4.6575342465753435E-2</v>
      </c>
      <c r="E19" s="2"/>
      <c r="F19" s="1"/>
      <c r="G19" s="2"/>
      <c r="H19" s="1"/>
      <c r="I19" s="1"/>
    </row>
    <row r="20" spans="1:9" x14ac:dyDescent="0.3">
      <c r="A20" s="8">
        <v>32</v>
      </c>
      <c r="B20" s="4" t="s">
        <v>28</v>
      </c>
      <c r="C20" s="6">
        <v>3</v>
      </c>
      <c r="D20" s="5">
        <f t="shared" si="0"/>
        <v>4.1095890410958909E-2</v>
      </c>
      <c r="E20" s="2"/>
      <c r="F20" s="1"/>
      <c r="G20" s="2"/>
      <c r="H20" s="1"/>
      <c r="I20" s="1"/>
    </row>
    <row r="21" spans="1:9" x14ac:dyDescent="0.3">
      <c r="A21" s="8">
        <v>34</v>
      </c>
      <c r="B21" s="4" t="s">
        <v>29</v>
      </c>
      <c r="C21" s="6">
        <v>3</v>
      </c>
      <c r="D21" s="5">
        <f t="shared" si="0"/>
        <v>4.1095890410958909E-2</v>
      </c>
      <c r="E21" s="2"/>
      <c r="F21" s="1"/>
      <c r="G21" s="2"/>
      <c r="H21" s="1"/>
      <c r="I21" s="1"/>
    </row>
    <row r="22" spans="1:9" x14ac:dyDescent="0.3">
      <c r="A22" s="8">
        <v>37</v>
      </c>
      <c r="B22" s="4" t="s">
        <v>30</v>
      </c>
      <c r="C22" s="6">
        <v>3.2</v>
      </c>
      <c r="D22" s="5">
        <f t="shared" si="0"/>
        <v>4.3835616438356179E-2</v>
      </c>
      <c r="E22" s="2"/>
      <c r="F22" s="1"/>
      <c r="G22" s="2"/>
      <c r="H22" s="1"/>
      <c r="I22" s="1"/>
    </row>
    <row r="23" spans="1:9" x14ac:dyDescent="0.3">
      <c r="A23" s="8">
        <v>38</v>
      </c>
      <c r="B23" s="4" t="s">
        <v>31</v>
      </c>
      <c r="C23" s="6">
        <v>3.6</v>
      </c>
      <c r="D23" s="5">
        <f t="shared" si="0"/>
        <v>4.9315068493150697E-2</v>
      </c>
      <c r="E23" s="2"/>
      <c r="F23" s="2"/>
      <c r="G23" s="2"/>
      <c r="H23" s="1"/>
      <c r="I23" s="1"/>
    </row>
    <row r="24" spans="1:9" x14ac:dyDescent="0.3">
      <c r="A24" s="6">
        <v>39</v>
      </c>
      <c r="B24" s="4" t="s">
        <v>32</v>
      </c>
      <c r="C24" s="6">
        <v>3.6</v>
      </c>
      <c r="D24" s="5">
        <f t="shared" si="0"/>
        <v>4.9315068493150697E-2</v>
      </c>
      <c r="E24" s="2"/>
      <c r="F24" s="1"/>
      <c r="G24" s="2"/>
      <c r="H24" s="1"/>
      <c r="I24" s="1"/>
    </row>
    <row r="25" spans="1:9" x14ac:dyDescent="0.3">
      <c r="C25" s="6">
        <f>SUM(C3:C24)</f>
        <v>72.999999999999986</v>
      </c>
      <c r="D25" s="22">
        <f>SUM(D3:D24)</f>
        <v>1.0000000000000004</v>
      </c>
    </row>
  </sheetData>
  <mergeCells count="2">
    <mergeCell ref="G1:I1"/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F985-24F5-4F16-A9C8-1D0F5853700E}">
  <dimension ref="A1:C304"/>
  <sheetViews>
    <sheetView zoomScale="90" zoomScaleNormal="90" workbookViewId="0">
      <selection activeCell="O23" sqref="O23"/>
    </sheetView>
  </sheetViews>
  <sheetFormatPr baseColWidth="10" defaultRowHeight="14.4" x14ac:dyDescent="0.3"/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>
        <v>4.5</v>
      </c>
      <c r="B2">
        <v>7.1</v>
      </c>
      <c r="C2">
        <v>0.5</v>
      </c>
    </row>
    <row r="4" spans="1:3" x14ac:dyDescent="0.3">
      <c r="A4" t="s">
        <v>8</v>
      </c>
      <c r="B4" t="s">
        <v>10</v>
      </c>
    </row>
    <row r="5" spans="1:3" x14ac:dyDescent="0.3">
      <c r="A5">
        <v>0.05</v>
      </c>
      <c r="B5" s="3" cm="1">
        <f t="array" ref="B5">_xlfn.IFS(A5&lt;=$C$2,5,AND(A5&gt;$C$2,A5&lt;=$A$2),(5-(2/($A$2-$C$2))*(A5-$C$2)),AND(A5&gt;$A$2,A5&lt;=$B$2),(3-(2/($B$2-$A$2))*(A5-$A$2)),A5&gt;$B$2,0.1^((A5-$B$2)/$B$2))</f>
        <v>5</v>
      </c>
    </row>
    <row r="6" spans="1:3" x14ac:dyDescent="0.3">
      <c r="A6">
        <v>0.1</v>
      </c>
      <c r="B6" s="3" cm="1">
        <f t="array" ref="B6">_xlfn.IFS(A6&lt;=$C$2,5,AND(A6&gt;$C$2,A6&lt;=$A$2),(5-(2/($A$2-$C$2))*(A6-$C$2)),AND(A6&gt;$A$2,A6&lt;=$B$2),(3-(2/($B$2-$A$2))*(A6-$A$2)),A6&gt;$B$2,0.1^((A6-$B$2)/$B$2))</f>
        <v>5</v>
      </c>
    </row>
    <row r="7" spans="1:3" x14ac:dyDescent="0.3">
      <c r="A7">
        <v>0.15</v>
      </c>
      <c r="B7" s="3" cm="1">
        <f t="array" ref="B7">_xlfn.IFS(A7&lt;=$C$2,5,AND(A7&gt;$C$2,A7&lt;=$A$2),(5-(2/($A$2-$C$2))*(A7-$C$2)),AND(A7&gt;$A$2,A7&lt;=$B$2),(3-(2/($B$2-$A$2))*(A7-$A$2)),A7&gt;$B$2,0.1^((A7-$B$2)/$B$2))</f>
        <v>5</v>
      </c>
    </row>
    <row r="8" spans="1:3" x14ac:dyDescent="0.3">
      <c r="A8">
        <v>0.2</v>
      </c>
      <c r="B8" s="3" cm="1">
        <f t="array" ref="B8">_xlfn.IFS(A8&lt;=$C$2,5,AND(A8&gt;$C$2,A8&lt;=$A$2),(5-(2/($A$2-$C$2))*(A8-$C$2)),AND(A8&gt;$A$2,A8&lt;=$B$2),(3-(2/($B$2-$A$2))*(A8-$A$2)),A8&gt;$B$2,0.1^((A8-$B$2)/$B$2))</f>
        <v>5</v>
      </c>
    </row>
    <row r="9" spans="1:3" x14ac:dyDescent="0.3">
      <c r="A9">
        <v>0.25</v>
      </c>
      <c r="B9" s="3" cm="1">
        <f t="array" ref="B9">_xlfn.IFS(A9&lt;=$C$2,5,AND(A9&gt;$C$2,A9&lt;=$A$2),(5-(2/($A$2-$C$2))*(A9-$C$2)),AND(A9&gt;$A$2,A9&lt;=$B$2),(3-(2/($B$2-$A$2))*(A9-$A$2)),A9&gt;$B$2,0.1^((A9-$B$2)/$B$2))</f>
        <v>5</v>
      </c>
    </row>
    <row r="10" spans="1:3" x14ac:dyDescent="0.3">
      <c r="A10">
        <v>0.3</v>
      </c>
      <c r="B10" s="3" cm="1">
        <f t="array" ref="B10">_xlfn.IFS(A10&lt;=$C$2,5,AND(A10&gt;$C$2,A10&lt;=$A$2),(5-(2/($A$2-$C$2))*(A10-$C$2)),AND(A10&gt;$A$2,A10&lt;=$B$2),(3-(2/($B$2-$A$2))*(A10-$A$2)),A10&gt;$B$2,0.1^((A10-$B$2)/$B$2))</f>
        <v>5</v>
      </c>
    </row>
    <row r="11" spans="1:3" x14ac:dyDescent="0.3">
      <c r="A11">
        <v>0.35</v>
      </c>
      <c r="B11" s="3" cm="1">
        <f t="array" ref="B11">_xlfn.IFS(A11&lt;=$C$2,5,AND(A11&gt;$C$2,A11&lt;=$A$2),(5-(2/($A$2-$C$2))*(A11-$C$2)),AND(A11&gt;$A$2,A11&lt;=$B$2),(3-(2/($B$2-$A$2))*(A11-$A$2)),A11&gt;$B$2,0.1^((A11-$B$2)/$B$2))</f>
        <v>5</v>
      </c>
    </row>
    <row r="12" spans="1:3" x14ac:dyDescent="0.3">
      <c r="A12">
        <v>0.4</v>
      </c>
      <c r="B12" s="3" cm="1">
        <f t="array" ref="B12">_xlfn.IFS(A12&lt;=$C$2,5,AND(A12&gt;$C$2,A12&lt;=$A$2),(5-(2/($A$2-$C$2))*(A12-$C$2)),AND(A12&gt;$A$2,A12&lt;=$B$2),(3-(2/($B$2-$A$2))*(A12-$A$2)),A12&gt;$B$2,0.1^((A12-$B$2)/$B$2))</f>
        <v>5</v>
      </c>
    </row>
    <row r="13" spans="1:3" x14ac:dyDescent="0.3">
      <c r="A13">
        <v>0.45</v>
      </c>
      <c r="B13" s="3" cm="1">
        <f t="array" ref="B13">_xlfn.IFS(A13&lt;=$C$2,5,AND(A13&gt;$C$2,A13&lt;=$A$2),(5-(2/($A$2-$C$2))*(A13-$C$2)),AND(A13&gt;$A$2,A13&lt;=$B$2),(3-(2/($B$2-$A$2))*(A13-$A$2)),A13&gt;$B$2,0.1^((A13-$B$2)/$B$2))</f>
        <v>5</v>
      </c>
    </row>
    <row r="14" spans="1:3" x14ac:dyDescent="0.3">
      <c r="A14">
        <v>0.5</v>
      </c>
      <c r="B14" s="3" cm="1">
        <f t="array" ref="B14">_xlfn.IFS(A14&lt;=$C$2,5,AND(A14&gt;$C$2,A14&lt;=$A$2),(5-(2/($A$2-$C$2))*(A14-$C$2)),AND(A14&gt;$A$2,A14&lt;=$B$2),(3-(2/($B$2-$A$2))*(A14-$A$2)),A14&gt;$B$2,0.1^((A14-$B$2)/$B$2))</f>
        <v>5</v>
      </c>
    </row>
    <row r="15" spans="1:3" x14ac:dyDescent="0.3">
      <c r="A15">
        <v>0.55000000000000004</v>
      </c>
      <c r="B15" s="3" cm="1">
        <f t="array" ref="B15">_xlfn.IFS(A15&lt;=$C$2,5,AND(A15&gt;$C$2,A15&lt;=$A$2),(5-(2/($A$2-$C$2))*(A15-$C$2)),AND(A15&gt;$A$2,A15&lt;=$B$2),(3-(2/($B$2-$A$2))*(A15-$A$2)),A15&gt;$B$2,0.1^((A15-$B$2)/$B$2))</f>
        <v>4.9749999999999996</v>
      </c>
    </row>
    <row r="16" spans="1:3" x14ac:dyDescent="0.3">
      <c r="A16">
        <v>0.6</v>
      </c>
      <c r="B16" s="3" cm="1">
        <f t="array" ref="B16">_xlfn.IFS(A16&lt;=$C$2,5,AND(A16&gt;$C$2,A16&lt;=$A$2),(5-(2/($A$2-$C$2))*(A16-$C$2)),AND(A16&gt;$A$2,A16&lt;=$B$2),(3-(2/($B$2-$A$2))*(A16-$A$2)),A16&gt;$B$2,0.1^((A16-$B$2)/$B$2))</f>
        <v>4.95</v>
      </c>
    </row>
    <row r="17" spans="1:2" x14ac:dyDescent="0.3">
      <c r="A17">
        <v>0.65</v>
      </c>
      <c r="B17" s="3" cm="1">
        <f t="array" ref="B17">_xlfn.IFS(A17&lt;=$C$2,5,AND(A17&gt;$C$2,A17&lt;=$A$2),(5-(2/($A$2-$C$2))*(A17-$C$2)),AND(A17&gt;$A$2,A17&lt;=$B$2),(3-(2/($B$2-$A$2))*(A17-$A$2)),A17&gt;$B$2,0.1^((A17-$B$2)/$B$2))</f>
        <v>4.9249999999999998</v>
      </c>
    </row>
    <row r="18" spans="1:2" x14ac:dyDescent="0.3">
      <c r="A18">
        <v>0.7</v>
      </c>
      <c r="B18" s="3" cm="1">
        <f t="array" ref="B18">_xlfn.IFS(A18&lt;=$C$2,5,AND(A18&gt;$C$2,A18&lt;=$A$2),(5-(2/($A$2-$C$2))*(A18-$C$2)),AND(A18&gt;$A$2,A18&lt;=$B$2),(3-(2/($B$2-$A$2))*(A18-$A$2)),A18&gt;$B$2,0.1^((A18-$B$2)/$B$2))</f>
        <v>4.9000000000000004</v>
      </c>
    </row>
    <row r="19" spans="1:2" x14ac:dyDescent="0.3">
      <c r="A19">
        <v>0.75</v>
      </c>
      <c r="B19" s="3" cm="1">
        <f t="array" ref="B19">_xlfn.IFS(A19&lt;=$C$2,5,AND(A19&gt;$C$2,A19&lt;=$A$2),(5-(2/($A$2-$C$2))*(A19-$C$2)),AND(A19&gt;$A$2,A19&lt;=$B$2),(3-(2/($B$2-$A$2))*(A19-$A$2)),A19&gt;$B$2,0.1^((A19-$B$2)/$B$2))</f>
        <v>4.875</v>
      </c>
    </row>
    <row r="20" spans="1:2" x14ac:dyDescent="0.3">
      <c r="A20">
        <v>0.8</v>
      </c>
      <c r="B20" s="3" cm="1">
        <f t="array" ref="B20">_xlfn.IFS(A20&lt;=$C$2,5,AND(A20&gt;$C$2,A20&lt;=$A$2),(5-(2/($A$2-$C$2))*(A20-$C$2)),AND(A20&gt;$A$2,A20&lt;=$B$2),(3-(2/($B$2-$A$2))*(A20-$A$2)),A20&gt;$B$2,0.1^((A20-$B$2)/$B$2))</f>
        <v>4.8499999999999996</v>
      </c>
    </row>
    <row r="21" spans="1:2" x14ac:dyDescent="0.3">
      <c r="A21">
        <v>0.85</v>
      </c>
      <c r="B21" s="3" cm="1">
        <f t="array" ref="B21">_xlfn.IFS(A21&lt;=$C$2,5,AND(A21&gt;$C$2,A21&lt;=$A$2),(5-(2/($A$2-$C$2))*(A21-$C$2)),AND(A21&gt;$A$2,A21&lt;=$B$2),(3-(2/($B$2-$A$2))*(A21-$A$2)),A21&gt;$B$2,0.1^((A21-$B$2)/$B$2))</f>
        <v>4.8250000000000002</v>
      </c>
    </row>
    <row r="22" spans="1:2" x14ac:dyDescent="0.3">
      <c r="A22">
        <v>0.9</v>
      </c>
      <c r="B22" s="3" cm="1">
        <f t="array" ref="B22">_xlfn.IFS(A22&lt;=$C$2,5,AND(A22&gt;$C$2,A22&lt;=$A$2),(5-(2/($A$2-$C$2))*(A22-$C$2)),AND(A22&gt;$A$2,A22&lt;=$B$2),(3-(2/($B$2-$A$2))*(A22-$A$2)),A22&gt;$B$2,0.1^((A22-$B$2)/$B$2))</f>
        <v>4.8</v>
      </c>
    </row>
    <row r="23" spans="1:2" x14ac:dyDescent="0.3">
      <c r="A23">
        <v>0.95</v>
      </c>
      <c r="B23" s="3" cm="1">
        <f t="array" ref="B23">_xlfn.IFS(A23&lt;=$C$2,5,AND(A23&gt;$C$2,A23&lt;=$A$2),(5-(2/($A$2-$C$2))*(A23-$C$2)),AND(A23&gt;$A$2,A23&lt;=$B$2),(3-(2/($B$2-$A$2))*(A23-$A$2)),A23&gt;$B$2,0.1^((A23-$B$2)/$B$2))</f>
        <v>4.7750000000000004</v>
      </c>
    </row>
    <row r="24" spans="1:2" x14ac:dyDescent="0.3">
      <c r="A24">
        <v>1</v>
      </c>
      <c r="B24" s="3" cm="1">
        <f t="array" ref="B24">_xlfn.IFS(A24&lt;=$C$2,5,AND(A24&gt;$C$2,A24&lt;=$A$2),(5-(2/($A$2-$C$2))*(A24-$C$2)),AND(A24&gt;$A$2,A24&lt;=$B$2),(3-(2/($B$2-$A$2))*(A24-$A$2)),A24&gt;$B$2,0.1^((A24-$B$2)/$B$2))</f>
        <v>4.75</v>
      </c>
    </row>
    <row r="25" spans="1:2" x14ac:dyDescent="0.3">
      <c r="A25">
        <v>1.05</v>
      </c>
      <c r="B25" s="3" cm="1">
        <f t="array" ref="B25">_xlfn.IFS(A25&lt;=$C$2,5,AND(A25&gt;$C$2,A25&lt;=$A$2),(5-(2/($A$2-$C$2))*(A25-$C$2)),AND(A25&gt;$A$2,A25&lt;=$B$2),(3-(2/($B$2-$A$2))*(A25-$A$2)),A25&gt;$B$2,0.1^((A25-$B$2)/$B$2))</f>
        <v>4.7249999999999996</v>
      </c>
    </row>
    <row r="26" spans="1:2" x14ac:dyDescent="0.3">
      <c r="A26">
        <v>1.1000000000000001</v>
      </c>
      <c r="B26" s="3" cm="1">
        <f t="array" ref="B26">_xlfn.IFS(A26&lt;=$C$2,5,AND(A26&gt;$C$2,A26&lt;=$A$2),(5-(2/($A$2-$C$2))*(A26-$C$2)),AND(A26&gt;$A$2,A26&lt;=$B$2),(3-(2/($B$2-$A$2))*(A26-$A$2)),A26&gt;$B$2,0.1^((A26-$B$2)/$B$2))</f>
        <v>4.7</v>
      </c>
    </row>
    <row r="27" spans="1:2" x14ac:dyDescent="0.3">
      <c r="A27">
        <v>1.1499999999999999</v>
      </c>
      <c r="B27" s="3" cm="1">
        <f t="array" ref="B27">_xlfn.IFS(A27&lt;=$C$2,5,AND(A27&gt;$C$2,A27&lt;=$A$2),(5-(2/($A$2-$C$2))*(A27-$C$2)),AND(A27&gt;$A$2,A27&lt;=$B$2),(3-(2/($B$2-$A$2))*(A27-$A$2)),A27&gt;$B$2,0.1^((A27-$B$2)/$B$2))</f>
        <v>4.6749999999999998</v>
      </c>
    </row>
    <row r="28" spans="1:2" x14ac:dyDescent="0.3">
      <c r="A28">
        <v>1.2</v>
      </c>
      <c r="B28" s="3" cm="1">
        <f t="array" ref="B28">_xlfn.IFS(A28&lt;=$C$2,5,AND(A28&gt;$C$2,A28&lt;=$A$2),(5-(2/($A$2-$C$2))*(A28-$C$2)),AND(A28&gt;$A$2,A28&lt;=$B$2),(3-(2/($B$2-$A$2))*(A28-$A$2)),A28&gt;$B$2,0.1^((A28-$B$2)/$B$2))</f>
        <v>4.6500000000000004</v>
      </c>
    </row>
    <row r="29" spans="1:2" x14ac:dyDescent="0.3">
      <c r="A29">
        <v>1.25</v>
      </c>
      <c r="B29" s="3" cm="1">
        <f t="array" ref="B29">_xlfn.IFS(A29&lt;=$C$2,5,AND(A29&gt;$C$2,A29&lt;=$A$2),(5-(2/($A$2-$C$2))*(A29-$C$2)),AND(A29&gt;$A$2,A29&lt;=$B$2),(3-(2/($B$2-$A$2))*(A29-$A$2)),A29&gt;$B$2,0.1^((A29-$B$2)/$B$2))</f>
        <v>4.625</v>
      </c>
    </row>
    <row r="30" spans="1:2" x14ac:dyDescent="0.3">
      <c r="A30">
        <v>1.3</v>
      </c>
      <c r="B30" s="3" cm="1">
        <f t="array" ref="B30">_xlfn.IFS(A30&lt;=$C$2,5,AND(A30&gt;$C$2,A30&lt;=$A$2),(5-(2/($A$2-$C$2))*(A30-$C$2)),AND(A30&gt;$A$2,A30&lt;=$B$2),(3-(2/($B$2-$A$2))*(A30-$A$2)),A30&gt;$B$2,0.1^((A30-$B$2)/$B$2))</f>
        <v>4.5999999999999996</v>
      </c>
    </row>
    <row r="31" spans="1:2" x14ac:dyDescent="0.3">
      <c r="A31">
        <v>1.35</v>
      </c>
      <c r="B31" s="3" cm="1">
        <f t="array" ref="B31">_xlfn.IFS(A31&lt;=$C$2,5,AND(A31&gt;$C$2,A31&lt;=$A$2),(5-(2/($A$2-$C$2))*(A31-$C$2)),AND(A31&gt;$A$2,A31&lt;=$B$2),(3-(2/($B$2-$A$2))*(A31-$A$2)),A31&gt;$B$2,0.1^((A31-$B$2)/$B$2))</f>
        <v>4.5750000000000002</v>
      </c>
    </row>
    <row r="32" spans="1:2" x14ac:dyDescent="0.3">
      <c r="A32">
        <v>1.4</v>
      </c>
      <c r="B32" s="3" cm="1">
        <f t="array" ref="B32">_xlfn.IFS(A32&lt;=$C$2,5,AND(A32&gt;$C$2,A32&lt;=$A$2),(5-(2/($A$2-$C$2))*(A32-$C$2)),AND(A32&gt;$A$2,A32&lt;=$B$2),(3-(2/($B$2-$A$2))*(A32-$A$2)),A32&gt;$B$2,0.1^((A32-$B$2)/$B$2))</f>
        <v>4.55</v>
      </c>
    </row>
    <row r="33" spans="1:2" x14ac:dyDescent="0.3">
      <c r="A33">
        <v>1.45</v>
      </c>
      <c r="B33" s="3" cm="1">
        <f t="array" ref="B33">_xlfn.IFS(A33&lt;=$C$2,5,AND(A33&gt;$C$2,A33&lt;=$A$2),(5-(2/($A$2-$C$2))*(A33-$C$2)),AND(A33&gt;$A$2,A33&lt;=$B$2),(3-(2/($B$2-$A$2))*(A33-$A$2)),A33&gt;$B$2,0.1^((A33-$B$2)/$B$2))</f>
        <v>4.5250000000000004</v>
      </c>
    </row>
    <row r="34" spans="1:2" x14ac:dyDescent="0.3">
      <c r="A34">
        <v>1.5</v>
      </c>
      <c r="B34" s="3" cm="1">
        <f t="array" ref="B34">_xlfn.IFS(A34&lt;=$C$2,5,AND(A34&gt;$C$2,A34&lt;=$A$2),(5-(2/($A$2-$C$2))*(A34-$C$2)),AND(A34&gt;$A$2,A34&lt;=$B$2),(3-(2/($B$2-$A$2))*(A34-$A$2)),A34&gt;$B$2,0.1^((A34-$B$2)/$B$2))</f>
        <v>4.5</v>
      </c>
    </row>
    <row r="35" spans="1:2" x14ac:dyDescent="0.3">
      <c r="A35">
        <v>1.55</v>
      </c>
      <c r="B35" s="3" cm="1">
        <f t="array" ref="B35">_xlfn.IFS(A35&lt;=$C$2,5,AND(A35&gt;$C$2,A35&lt;=$A$2),(5-(2/($A$2-$C$2))*(A35-$C$2)),AND(A35&gt;$A$2,A35&lt;=$B$2),(3-(2/($B$2-$A$2))*(A35-$A$2)),A35&gt;$B$2,0.1^((A35-$B$2)/$B$2))</f>
        <v>4.4749999999999996</v>
      </c>
    </row>
    <row r="36" spans="1:2" x14ac:dyDescent="0.3">
      <c r="A36">
        <v>1.6</v>
      </c>
      <c r="B36" s="3" cm="1">
        <f t="array" ref="B36">_xlfn.IFS(A36&lt;=$C$2,5,AND(A36&gt;$C$2,A36&lt;=$A$2),(5-(2/($A$2-$C$2))*(A36-$C$2)),AND(A36&gt;$A$2,A36&lt;=$B$2),(3-(2/($B$2-$A$2))*(A36-$A$2)),A36&gt;$B$2,0.1^((A36-$B$2)/$B$2))</f>
        <v>4.45</v>
      </c>
    </row>
    <row r="37" spans="1:2" x14ac:dyDescent="0.3">
      <c r="A37">
        <v>1.65</v>
      </c>
      <c r="B37" s="3" cm="1">
        <f t="array" ref="B37">_xlfn.IFS(A37&lt;=$C$2,5,AND(A37&gt;$C$2,A37&lt;=$A$2),(5-(2/($A$2-$C$2))*(A37-$C$2)),AND(A37&gt;$A$2,A37&lt;=$B$2),(3-(2/($B$2-$A$2))*(A37-$A$2)),A37&gt;$B$2,0.1^((A37-$B$2)/$B$2))</f>
        <v>4.4249999999999998</v>
      </c>
    </row>
    <row r="38" spans="1:2" x14ac:dyDescent="0.3">
      <c r="A38">
        <v>1.7</v>
      </c>
      <c r="B38" s="3" cm="1">
        <f t="array" ref="B38">_xlfn.IFS(A38&lt;=$C$2,5,AND(A38&gt;$C$2,A38&lt;=$A$2),(5-(2/($A$2-$C$2))*(A38-$C$2)),AND(A38&gt;$A$2,A38&lt;=$B$2),(3-(2/($B$2-$A$2))*(A38-$A$2)),A38&gt;$B$2,0.1^((A38-$B$2)/$B$2))</f>
        <v>4.4000000000000004</v>
      </c>
    </row>
    <row r="39" spans="1:2" x14ac:dyDescent="0.3">
      <c r="A39">
        <v>1.75</v>
      </c>
      <c r="B39" s="3" cm="1">
        <f t="array" ref="B39">_xlfn.IFS(A39&lt;=$C$2,5,AND(A39&gt;$C$2,A39&lt;=$A$2),(5-(2/($A$2-$C$2))*(A39-$C$2)),AND(A39&gt;$A$2,A39&lt;=$B$2),(3-(2/($B$2-$A$2))*(A39-$A$2)),A39&gt;$B$2,0.1^((A39-$B$2)/$B$2))</f>
        <v>4.375</v>
      </c>
    </row>
    <row r="40" spans="1:2" x14ac:dyDescent="0.3">
      <c r="A40">
        <v>1.8</v>
      </c>
      <c r="B40" s="3" cm="1">
        <f t="array" ref="B40">_xlfn.IFS(A40&lt;=$C$2,5,AND(A40&gt;$C$2,A40&lt;=$A$2),(5-(2/($A$2-$C$2))*(A40-$C$2)),AND(A40&gt;$A$2,A40&lt;=$B$2),(3-(2/($B$2-$A$2))*(A40-$A$2)),A40&gt;$B$2,0.1^((A40-$B$2)/$B$2))</f>
        <v>4.3499999999999996</v>
      </c>
    </row>
    <row r="41" spans="1:2" x14ac:dyDescent="0.3">
      <c r="A41">
        <v>1.85</v>
      </c>
      <c r="B41" s="3" cm="1">
        <f t="array" ref="B41">_xlfn.IFS(A41&lt;=$C$2,5,AND(A41&gt;$C$2,A41&lt;=$A$2),(5-(2/($A$2-$C$2))*(A41-$C$2)),AND(A41&gt;$A$2,A41&lt;=$B$2),(3-(2/($B$2-$A$2))*(A41-$A$2)),A41&gt;$B$2,0.1^((A41-$B$2)/$B$2))</f>
        <v>4.3250000000000002</v>
      </c>
    </row>
    <row r="42" spans="1:2" x14ac:dyDescent="0.3">
      <c r="A42">
        <v>1.9</v>
      </c>
      <c r="B42" s="3" cm="1">
        <f t="array" ref="B42">_xlfn.IFS(A42&lt;=$C$2,5,AND(A42&gt;$C$2,A42&lt;=$A$2),(5-(2/($A$2-$C$2))*(A42-$C$2)),AND(A42&gt;$A$2,A42&lt;=$B$2),(3-(2/($B$2-$A$2))*(A42-$A$2)),A42&gt;$B$2,0.1^((A42-$B$2)/$B$2))</f>
        <v>4.3</v>
      </c>
    </row>
    <row r="43" spans="1:2" x14ac:dyDescent="0.3">
      <c r="A43">
        <v>1.95</v>
      </c>
      <c r="B43" s="3" cm="1">
        <f t="array" ref="B43">_xlfn.IFS(A43&lt;=$C$2,5,AND(A43&gt;$C$2,A43&lt;=$A$2),(5-(2/($A$2-$C$2))*(A43-$C$2)),AND(A43&gt;$A$2,A43&lt;=$B$2),(3-(2/($B$2-$A$2))*(A43-$A$2)),A43&gt;$B$2,0.1^((A43-$B$2)/$B$2))</f>
        <v>4.2750000000000004</v>
      </c>
    </row>
    <row r="44" spans="1:2" x14ac:dyDescent="0.3">
      <c r="A44">
        <v>2</v>
      </c>
      <c r="B44" s="3" cm="1">
        <f t="array" ref="B44">_xlfn.IFS(A44&lt;=$C$2,5,AND(A44&gt;$C$2,A44&lt;=$A$2),(5-(2/($A$2-$C$2))*(A44-$C$2)),AND(A44&gt;$A$2,A44&lt;=$B$2),(3-(2/($B$2-$A$2))*(A44-$A$2)),A44&gt;$B$2,0.1^((A44-$B$2)/$B$2))</f>
        <v>4.25</v>
      </c>
    </row>
    <row r="45" spans="1:2" x14ac:dyDescent="0.3">
      <c r="A45">
        <v>2.0499999999999998</v>
      </c>
      <c r="B45" s="3" cm="1">
        <f t="array" ref="B45">_xlfn.IFS(A45&lt;=$C$2,5,AND(A45&gt;$C$2,A45&lt;=$A$2),(5-(2/($A$2-$C$2))*(A45-$C$2)),AND(A45&gt;$A$2,A45&lt;=$B$2),(3-(2/($B$2-$A$2))*(A45-$A$2)),A45&gt;$B$2,0.1^((A45-$B$2)/$B$2))</f>
        <v>4.2249999999999996</v>
      </c>
    </row>
    <row r="46" spans="1:2" x14ac:dyDescent="0.3">
      <c r="A46">
        <v>2.1</v>
      </c>
      <c r="B46" s="3" cm="1">
        <f t="array" ref="B46">_xlfn.IFS(A46&lt;=$C$2,5,AND(A46&gt;$C$2,A46&lt;=$A$2),(5-(2/($A$2-$C$2))*(A46-$C$2)),AND(A46&gt;$A$2,A46&lt;=$B$2),(3-(2/($B$2-$A$2))*(A46-$A$2)),A46&gt;$B$2,0.1^((A46-$B$2)/$B$2))</f>
        <v>4.2</v>
      </c>
    </row>
    <row r="47" spans="1:2" x14ac:dyDescent="0.3">
      <c r="A47">
        <v>2.15</v>
      </c>
      <c r="B47" s="3" cm="1">
        <f t="array" ref="B47">_xlfn.IFS(A47&lt;=$C$2,5,AND(A47&gt;$C$2,A47&lt;=$A$2),(5-(2/($A$2-$C$2))*(A47-$C$2)),AND(A47&gt;$A$2,A47&lt;=$B$2),(3-(2/($B$2-$A$2))*(A47-$A$2)),A47&gt;$B$2,0.1^((A47-$B$2)/$B$2))</f>
        <v>4.1749999999999998</v>
      </c>
    </row>
    <row r="48" spans="1:2" x14ac:dyDescent="0.3">
      <c r="A48">
        <v>2.2000000000000002</v>
      </c>
      <c r="B48" s="3" cm="1">
        <f t="array" ref="B48">_xlfn.IFS(A48&lt;=$C$2,5,AND(A48&gt;$C$2,A48&lt;=$A$2),(5-(2/($A$2-$C$2))*(A48-$C$2)),AND(A48&gt;$A$2,A48&lt;=$B$2),(3-(2/($B$2-$A$2))*(A48-$A$2)),A48&gt;$B$2,0.1^((A48-$B$2)/$B$2))</f>
        <v>4.1500000000000004</v>
      </c>
    </row>
    <row r="49" spans="1:2" x14ac:dyDescent="0.3">
      <c r="A49">
        <v>2.25</v>
      </c>
      <c r="B49" s="3" cm="1">
        <f t="array" ref="B49">_xlfn.IFS(A49&lt;=$C$2,5,AND(A49&gt;$C$2,A49&lt;=$A$2),(5-(2/($A$2-$C$2))*(A49-$C$2)),AND(A49&gt;$A$2,A49&lt;=$B$2),(3-(2/($B$2-$A$2))*(A49-$A$2)),A49&gt;$B$2,0.1^((A49-$B$2)/$B$2))</f>
        <v>4.125</v>
      </c>
    </row>
    <row r="50" spans="1:2" x14ac:dyDescent="0.3">
      <c r="A50">
        <v>2.2999999999999998</v>
      </c>
      <c r="B50" s="3" cm="1">
        <f t="array" ref="B50">_xlfn.IFS(A50&lt;=$C$2,5,AND(A50&gt;$C$2,A50&lt;=$A$2),(5-(2/($A$2-$C$2))*(A50-$C$2)),AND(A50&gt;$A$2,A50&lt;=$B$2),(3-(2/($B$2-$A$2))*(A50-$A$2)),A50&gt;$B$2,0.1^((A50-$B$2)/$B$2))</f>
        <v>4.0999999999999996</v>
      </c>
    </row>
    <row r="51" spans="1:2" x14ac:dyDescent="0.3">
      <c r="A51">
        <v>2.35</v>
      </c>
      <c r="B51" s="3" cm="1">
        <f t="array" ref="B51">_xlfn.IFS(A51&lt;=$C$2,5,AND(A51&gt;$C$2,A51&lt;=$A$2),(5-(2/($A$2-$C$2))*(A51-$C$2)),AND(A51&gt;$A$2,A51&lt;=$B$2),(3-(2/($B$2-$A$2))*(A51-$A$2)),A51&gt;$B$2,0.1^((A51-$B$2)/$B$2))</f>
        <v>4.0750000000000002</v>
      </c>
    </row>
    <row r="52" spans="1:2" x14ac:dyDescent="0.3">
      <c r="A52">
        <v>2.4</v>
      </c>
      <c r="B52" s="3" cm="1">
        <f t="array" ref="B52">_xlfn.IFS(A52&lt;=$C$2,5,AND(A52&gt;$C$2,A52&lt;=$A$2),(5-(2/($A$2-$C$2))*(A52-$C$2)),AND(A52&gt;$A$2,A52&lt;=$B$2),(3-(2/($B$2-$A$2))*(A52-$A$2)),A52&gt;$B$2,0.1^((A52-$B$2)/$B$2))</f>
        <v>4.05</v>
      </c>
    </row>
    <row r="53" spans="1:2" x14ac:dyDescent="0.3">
      <c r="A53">
        <v>2.4500000000000002</v>
      </c>
      <c r="B53" s="3" cm="1">
        <f t="array" ref="B53">_xlfn.IFS(A53&lt;=$C$2,5,AND(A53&gt;$C$2,A53&lt;=$A$2),(5-(2/($A$2-$C$2))*(A53-$C$2)),AND(A53&gt;$A$2,A53&lt;=$B$2),(3-(2/($B$2-$A$2))*(A53-$A$2)),A53&gt;$B$2,0.1^((A53-$B$2)/$B$2))</f>
        <v>4.0250000000000004</v>
      </c>
    </row>
    <row r="54" spans="1:2" x14ac:dyDescent="0.3">
      <c r="A54">
        <v>2.5</v>
      </c>
      <c r="B54" s="3" cm="1">
        <f t="array" ref="B54">_xlfn.IFS(A54&lt;=$C$2,5,AND(A54&gt;$C$2,A54&lt;=$A$2),(5-(2/($A$2-$C$2))*(A54-$C$2)),AND(A54&gt;$A$2,A54&lt;=$B$2),(3-(2/($B$2-$A$2))*(A54-$A$2)),A54&gt;$B$2,0.1^((A54-$B$2)/$B$2))</f>
        <v>4</v>
      </c>
    </row>
    <row r="55" spans="1:2" x14ac:dyDescent="0.3">
      <c r="A55">
        <v>2.5499999999999998</v>
      </c>
      <c r="B55" s="3" cm="1">
        <f t="array" ref="B55">_xlfn.IFS(A55&lt;=$C$2,5,AND(A55&gt;$C$2,A55&lt;=$A$2),(5-(2/($A$2-$C$2))*(A55-$C$2)),AND(A55&gt;$A$2,A55&lt;=$B$2),(3-(2/($B$2-$A$2))*(A55-$A$2)),A55&gt;$B$2,0.1^((A55-$B$2)/$B$2))</f>
        <v>3.9750000000000001</v>
      </c>
    </row>
    <row r="56" spans="1:2" x14ac:dyDescent="0.3">
      <c r="A56">
        <v>2.6</v>
      </c>
      <c r="B56" s="3" cm="1">
        <f t="array" ref="B56">_xlfn.IFS(A56&lt;=$C$2,5,AND(A56&gt;$C$2,A56&lt;=$A$2),(5-(2/($A$2-$C$2))*(A56-$C$2)),AND(A56&gt;$A$2,A56&lt;=$B$2),(3-(2/($B$2-$A$2))*(A56-$A$2)),A56&gt;$B$2,0.1^((A56-$B$2)/$B$2))</f>
        <v>3.95</v>
      </c>
    </row>
    <row r="57" spans="1:2" x14ac:dyDescent="0.3">
      <c r="A57">
        <v>2.65</v>
      </c>
      <c r="B57" s="3" cm="1">
        <f t="array" ref="B57">_xlfn.IFS(A57&lt;=$C$2,5,AND(A57&gt;$C$2,A57&lt;=$A$2),(5-(2/($A$2-$C$2))*(A57-$C$2)),AND(A57&gt;$A$2,A57&lt;=$B$2),(3-(2/($B$2-$A$2))*(A57-$A$2)),A57&gt;$B$2,0.1^((A57-$B$2)/$B$2))</f>
        <v>3.9249999999999998</v>
      </c>
    </row>
    <row r="58" spans="1:2" x14ac:dyDescent="0.3">
      <c r="A58">
        <v>2.7</v>
      </c>
      <c r="B58" s="3" cm="1">
        <f t="array" ref="B58">_xlfn.IFS(A58&lt;=$C$2,5,AND(A58&gt;$C$2,A58&lt;=$A$2),(5-(2/($A$2-$C$2))*(A58-$C$2)),AND(A58&gt;$A$2,A58&lt;=$B$2),(3-(2/($B$2-$A$2))*(A58-$A$2)),A58&gt;$B$2,0.1^((A58-$B$2)/$B$2))</f>
        <v>3.9</v>
      </c>
    </row>
    <row r="59" spans="1:2" x14ac:dyDescent="0.3">
      <c r="A59">
        <v>2.75</v>
      </c>
      <c r="B59" s="3" cm="1">
        <f t="array" ref="B59">_xlfn.IFS(A59&lt;=$C$2,5,AND(A59&gt;$C$2,A59&lt;=$A$2),(5-(2/($A$2-$C$2))*(A59-$C$2)),AND(A59&gt;$A$2,A59&lt;=$B$2),(3-(2/($B$2-$A$2))*(A59-$A$2)),A59&gt;$B$2,0.1^((A59-$B$2)/$B$2))</f>
        <v>3.875</v>
      </c>
    </row>
    <row r="60" spans="1:2" x14ac:dyDescent="0.3">
      <c r="A60">
        <v>2.8</v>
      </c>
      <c r="B60" s="3" cm="1">
        <f t="array" ref="B60">_xlfn.IFS(A60&lt;=$C$2,5,AND(A60&gt;$C$2,A60&lt;=$A$2),(5-(2/($A$2-$C$2))*(A60-$C$2)),AND(A60&gt;$A$2,A60&lt;=$B$2),(3-(2/($B$2-$A$2))*(A60-$A$2)),A60&gt;$B$2,0.1^((A60-$B$2)/$B$2))</f>
        <v>3.85</v>
      </c>
    </row>
    <row r="61" spans="1:2" x14ac:dyDescent="0.3">
      <c r="A61">
        <v>2.85</v>
      </c>
      <c r="B61" s="3" cm="1">
        <f t="array" ref="B61">_xlfn.IFS(A61&lt;=$C$2,5,AND(A61&gt;$C$2,A61&lt;=$A$2),(5-(2/($A$2-$C$2))*(A61-$C$2)),AND(A61&gt;$A$2,A61&lt;=$B$2),(3-(2/($B$2-$A$2))*(A61-$A$2)),A61&gt;$B$2,0.1^((A61-$B$2)/$B$2))</f>
        <v>3.8250000000000002</v>
      </c>
    </row>
    <row r="62" spans="1:2" x14ac:dyDescent="0.3">
      <c r="A62">
        <v>2.9</v>
      </c>
      <c r="B62" s="3" cm="1">
        <f t="array" ref="B62">_xlfn.IFS(A62&lt;=$C$2,5,AND(A62&gt;$C$2,A62&lt;=$A$2),(5-(2/($A$2-$C$2))*(A62-$C$2)),AND(A62&gt;$A$2,A62&lt;=$B$2),(3-(2/($B$2-$A$2))*(A62-$A$2)),A62&gt;$B$2,0.1^((A62-$B$2)/$B$2))</f>
        <v>3.8</v>
      </c>
    </row>
    <row r="63" spans="1:2" x14ac:dyDescent="0.3">
      <c r="A63">
        <v>2.95</v>
      </c>
      <c r="B63" s="3" cm="1">
        <f t="array" ref="B63">_xlfn.IFS(A63&lt;=$C$2,5,AND(A63&gt;$C$2,A63&lt;=$A$2),(5-(2/($A$2-$C$2))*(A63-$C$2)),AND(A63&gt;$A$2,A63&lt;=$B$2),(3-(2/($B$2-$A$2))*(A63-$A$2)),A63&gt;$B$2,0.1^((A63-$B$2)/$B$2))</f>
        <v>3.7749999999999999</v>
      </c>
    </row>
    <row r="64" spans="1:2" x14ac:dyDescent="0.3">
      <c r="A64">
        <v>3</v>
      </c>
      <c r="B64" s="3" cm="1">
        <f t="array" ref="B64">_xlfn.IFS(A64&lt;=$C$2,5,AND(A64&gt;$C$2,A64&lt;=$A$2),(5-(2/($A$2-$C$2))*(A64-$C$2)),AND(A64&gt;$A$2,A64&lt;=$B$2),(3-(2/($B$2-$A$2))*(A64-$A$2)),A64&gt;$B$2,0.1^((A64-$B$2)/$B$2))</f>
        <v>3.75</v>
      </c>
    </row>
    <row r="65" spans="1:2" x14ac:dyDescent="0.3">
      <c r="A65">
        <v>3.05</v>
      </c>
      <c r="B65" s="3" cm="1">
        <f t="array" ref="B65">_xlfn.IFS(A65&lt;=$C$2,5,AND(A65&gt;$C$2,A65&lt;=$A$2),(5-(2/($A$2-$C$2))*(A65-$C$2)),AND(A65&gt;$A$2,A65&lt;=$B$2),(3-(2/($B$2-$A$2))*(A65-$A$2)),A65&gt;$B$2,0.1^((A65-$B$2)/$B$2))</f>
        <v>3.7250000000000001</v>
      </c>
    </row>
    <row r="66" spans="1:2" x14ac:dyDescent="0.3">
      <c r="A66">
        <v>3.1</v>
      </c>
      <c r="B66" s="3" cm="1">
        <f t="array" ref="B66">_xlfn.IFS(A66&lt;=$C$2,5,AND(A66&gt;$C$2,A66&lt;=$A$2),(5-(2/($A$2-$C$2))*(A66-$C$2)),AND(A66&gt;$A$2,A66&lt;=$B$2),(3-(2/($B$2-$A$2))*(A66-$A$2)),A66&gt;$B$2,0.1^((A66-$B$2)/$B$2))</f>
        <v>3.7</v>
      </c>
    </row>
    <row r="67" spans="1:2" x14ac:dyDescent="0.3">
      <c r="A67">
        <v>3.15</v>
      </c>
      <c r="B67" s="3" cm="1">
        <f t="array" ref="B67">_xlfn.IFS(A67&lt;=$C$2,5,AND(A67&gt;$C$2,A67&lt;=$A$2),(5-(2/($A$2-$C$2))*(A67-$C$2)),AND(A67&gt;$A$2,A67&lt;=$B$2),(3-(2/($B$2-$A$2))*(A67-$A$2)),A67&gt;$B$2,0.1^((A67-$B$2)/$B$2))</f>
        <v>3.6749999999999998</v>
      </c>
    </row>
    <row r="68" spans="1:2" x14ac:dyDescent="0.3">
      <c r="A68">
        <v>3.2</v>
      </c>
      <c r="B68" s="3" cm="1">
        <f t="array" ref="B68">_xlfn.IFS(A68&lt;=$C$2,5,AND(A68&gt;$C$2,A68&lt;=$A$2),(5-(2/($A$2-$C$2))*(A68-$C$2)),AND(A68&gt;$A$2,A68&lt;=$B$2),(3-(2/($B$2-$A$2))*(A68-$A$2)),A68&gt;$B$2,0.1^((A68-$B$2)/$B$2))</f>
        <v>3.65</v>
      </c>
    </row>
    <row r="69" spans="1:2" x14ac:dyDescent="0.3">
      <c r="A69">
        <v>3.25</v>
      </c>
      <c r="B69" s="3" cm="1">
        <f t="array" ref="B69">_xlfn.IFS(A69&lt;=$C$2,5,AND(A69&gt;$C$2,A69&lt;=$A$2),(5-(2/($A$2-$C$2))*(A69-$C$2)),AND(A69&gt;$A$2,A69&lt;=$B$2),(3-(2/($B$2-$A$2))*(A69-$A$2)),A69&gt;$B$2,0.1^((A69-$B$2)/$B$2))</f>
        <v>3.625</v>
      </c>
    </row>
    <row r="70" spans="1:2" x14ac:dyDescent="0.3">
      <c r="A70">
        <v>3.3</v>
      </c>
      <c r="B70" s="3" cm="1">
        <f t="array" ref="B70">_xlfn.IFS(A70&lt;=$C$2,5,AND(A70&gt;$C$2,A70&lt;=$A$2),(5-(2/($A$2-$C$2))*(A70-$C$2)),AND(A70&gt;$A$2,A70&lt;=$B$2),(3-(2/($B$2-$A$2))*(A70-$A$2)),A70&gt;$B$2,0.1^((A70-$B$2)/$B$2))</f>
        <v>3.6</v>
      </c>
    </row>
    <row r="71" spans="1:2" x14ac:dyDescent="0.3">
      <c r="A71">
        <v>3.35</v>
      </c>
      <c r="B71" s="3" cm="1">
        <f t="array" ref="B71">_xlfn.IFS(A71&lt;=$C$2,5,AND(A71&gt;$C$2,A71&lt;=$A$2),(5-(2/($A$2-$C$2))*(A71-$C$2)),AND(A71&gt;$A$2,A71&lt;=$B$2),(3-(2/($B$2-$A$2))*(A71-$A$2)),A71&gt;$B$2,0.1^((A71-$B$2)/$B$2))</f>
        <v>3.5750000000000002</v>
      </c>
    </row>
    <row r="72" spans="1:2" x14ac:dyDescent="0.3">
      <c r="A72">
        <v>3.4</v>
      </c>
      <c r="B72" s="3" cm="1">
        <f t="array" ref="B72">_xlfn.IFS(A72&lt;=$C$2,5,AND(A72&gt;$C$2,A72&lt;=$A$2),(5-(2/($A$2-$C$2))*(A72-$C$2)),AND(A72&gt;$A$2,A72&lt;=$B$2),(3-(2/($B$2-$A$2))*(A72-$A$2)),A72&gt;$B$2,0.1^((A72-$B$2)/$B$2))</f>
        <v>3.55</v>
      </c>
    </row>
    <row r="73" spans="1:2" x14ac:dyDescent="0.3">
      <c r="A73">
        <v>3.45</v>
      </c>
      <c r="B73" s="3" cm="1">
        <f t="array" ref="B73">_xlfn.IFS(A73&lt;=$C$2,5,AND(A73&gt;$C$2,A73&lt;=$A$2),(5-(2/($A$2-$C$2))*(A73-$C$2)),AND(A73&gt;$A$2,A73&lt;=$B$2),(3-(2/($B$2-$A$2))*(A73-$A$2)),A73&gt;$B$2,0.1^((A73-$B$2)/$B$2))</f>
        <v>3.5249999999999999</v>
      </c>
    </row>
    <row r="74" spans="1:2" x14ac:dyDescent="0.3">
      <c r="A74">
        <v>3.5</v>
      </c>
      <c r="B74" s="3" cm="1">
        <f t="array" ref="B74">_xlfn.IFS(A74&lt;=$C$2,5,AND(A74&gt;$C$2,A74&lt;=$A$2),(5-(2/($A$2-$C$2))*(A74-$C$2)),AND(A74&gt;$A$2,A74&lt;=$B$2),(3-(2/($B$2-$A$2))*(A74-$A$2)),A74&gt;$B$2,0.1^((A74-$B$2)/$B$2))</f>
        <v>3.5</v>
      </c>
    </row>
    <row r="75" spans="1:2" x14ac:dyDescent="0.3">
      <c r="A75">
        <v>3.55</v>
      </c>
      <c r="B75" s="3" cm="1">
        <f t="array" ref="B75">_xlfn.IFS(A75&lt;=$C$2,5,AND(A75&gt;$C$2,A75&lt;=$A$2),(5-(2/($A$2-$C$2))*(A75-$C$2)),AND(A75&gt;$A$2,A75&lt;=$B$2),(3-(2/($B$2-$A$2))*(A75-$A$2)),A75&gt;$B$2,0.1^((A75-$B$2)/$B$2))</f>
        <v>3.4750000000000001</v>
      </c>
    </row>
    <row r="76" spans="1:2" x14ac:dyDescent="0.3">
      <c r="A76">
        <v>3.6</v>
      </c>
      <c r="B76" s="3" cm="1">
        <f t="array" ref="B76">_xlfn.IFS(A76&lt;=$C$2,5,AND(A76&gt;$C$2,A76&lt;=$A$2),(5-(2/($A$2-$C$2))*(A76-$C$2)),AND(A76&gt;$A$2,A76&lt;=$B$2),(3-(2/($B$2-$A$2))*(A76-$A$2)),A76&gt;$B$2,0.1^((A76-$B$2)/$B$2))</f>
        <v>3.45</v>
      </c>
    </row>
    <row r="77" spans="1:2" x14ac:dyDescent="0.3">
      <c r="A77">
        <v>3.65</v>
      </c>
      <c r="B77" s="3" cm="1">
        <f t="array" ref="B77">_xlfn.IFS(A77&lt;=$C$2,5,AND(A77&gt;$C$2,A77&lt;=$A$2),(5-(2/($A$2-$C$2))*(A77-$C$2)),AND(A77&gt;$A$2,A77&lt;=$B$2),(3-(2/($B$2-$A$2))*(A77-$A$2)),A77&gt;$B$2,0.1^((A77-$B$2)/$B$2))</f>
        <v>3.4249999999999998</v>
      </c>
    </row>
    <row r="78" spans="1:2" x14ac:dyDescent="0.3">
      <c r="A78">
        <v>3.7</v>
      </c>
      <c r="B78" s="3" cm="1">
        <f t="array" ref="B78">_xlfn.IFS(A78&lt;=$C$2,5,AND(A78&gt;$C$2,A78&lt;=$A$2),(5-(2/($A$2-$C$2))*(A78-$C$2)),AND(A78&gt;$A$2,A78&lt;=$B$2),(3-(2/($B$2-$A$2))*(A78-$A$2)),A78&gt;$B$2,0.1^((A78-$B$2)/$B$2))</f>
        <v>3.4</v>
      </c>
    </row>
    <row r="79" spans="1:2" x14ac:dyDescent="0.3">
      <c r="A79">
        <v>3.75</v>
      </c>
      <c r="B79" s="3" cm="1">
        <f t="array" ref="B79">_xlfn.IFS(A79&lt;=$C$2,5,AND(A79&gt;$C$2,A79&lt;=$A$2),(5-(2/($A$2-$C$2))*(A79-$C$2)),AND(A79&gt;$A$2,A79&lt;=$B$2),(3-(2/($B$2-$A$2))*(A79-$A$2)),A79&gt;$B$2,0.1^((A79-$B$2)/$B$2))</f>
        <v>3.375</v>
      </c>
    </row>
    <row r="80" spans="1:2" x14ac:dyDescent="0.3">
      <c r="A80">
        <v>3.8</v>
      </c>
      <c r="B80" s="3" cm="1">
        <f t="array" ref="B80">_xlfn.IFS(A80&lt;=$C$2,5,AND(A80&gt;$C$2,A80&lt;=$A$2),(5-(2/($A$2-$C$2))*(A80-$C$2)),AND(A80&gt;$A$2,A80&lt;=$B$2),(3-(2/($B$2-$A$2))*(A80-$A$2)),A80&gt;$B$2,0.1^((A80-$B$2)/$B$2))</f>
        <v>3.35</v>
      </c>
    </row>
    <row r="81" spans="1:2" x14ac:dyDescent="0.3">
      <c r="A81">
        <v>3.85</v>
      </c>
      <c r="B81" s="3" cm="1">
        <f t="array" ref="B81">_xlfn.IFS(A81&lt;=$C$2,5,AND(A81&gt;$C$2,A81&lt;=$A$2),(5-(2/($A$2-$C$2))*(A81-$C$2)),AND(A81&gt;$A$2,A81&lt;=$B$2),(3-(2/($B$2-$A$2))*(A81-$A$2)),A81&gt;$B$2,0.1^((A81-$B$2)/$B$2))</f>
        <v>3.3250000000000002</v>
      </c>
    </row>
    <row r="82" spans="1:2" x14ac:dyDescent="0.3">
      <c r="A82">
        <v>3.9</v>
      </c>
      <c r="B82" s="3" cm="1">
        <f t="array" ref="B82">_xlfn.IFS(A82&lt;=$C$2,5,AND(A82&gt;$C$2,A82&lt;=$A$2),(5-(2/($A$2-$C$2))*(A82-$C$2)),AND(A82&gt;$A$2,A82&lt;=$B$2),(3-(2/($B$2-$A$2))*(A82-$A$2)),A82&gt;$B$2,0.1^((A82-$B$2)/$B$2))</f>
        <v>3.3</v>
      </c>
    </row>
    <row r="83" spans="1:2" x14ac:dyDescent="0.3">
      <c r="A83">
        <v>3.95</v>
      </c>
      <c r="B83" s="3" cm="1">
        <f t="array" ref="B83">_xlfn.IFS(A83&lt;=$C$2,5,AND(A83&gt;$C$2,A83&lt;=$A$2),(5-(2/($A$2-$C$2))*(A83-$C$2)),AND(A83&gt;$A$2,A83&lt;=$B$2),(3-(2/($B$2-$A$2))*(A83-$A$2)),A83&gt;$B$2,0.1^((A83-$B$2)/$B$2))</f>
        <v>3.2749999999999999</v>
      </c>
    </row>
    <row r="84" spans="1:2" x14ac:dyDescent="0.3">
      <c r="A84">
        <v>4</v>
      </c>
      <c r="B84" s="3" cm="1">
        <f t="array" ref="B84">_xlfn.IFS(A84&lt;=$C$2,5,AND(A84&gt;$C$2,A84&lt;=$A$2),(5-(2/($A$2-$C$2))*(A84-$C$2)),AND(A84&gt;$A$2,A84&lt;=$B$2),(3-(2/($B$2-$A$2))*(A84-$A$2)),A84&gt;$B$2,0.1^((A84-$B$2)/$B$2))</f>
        <v>3.25</v>
      </c>
    </row>
    <row r="85" spans="1:2" x14ac:dyDescent="0.3">
      <c r="A85">
        <v>4.05</v>
      </c>
      <c r="B85" s="3" cm="1">
        <f t="array" ref="B85">_xlfn.IFS(A85&lt;=$C$2,5,AND(A85&gt;$C$2,A85&lt;=$A$2),(5-(2/($A$2-$C$2))*(A85-$C$2)),AND(A85&gt;$A$2,A85&lt;=$B$2),(3-(2/($B$2-$A$2))*(A85-$A$2)),A85&gt;$B$2,0.1^((A85-$B$2)/$B$2))</f>
        <v>3.2250000000000001</v>
      </c>
    </row>
    <row r="86" spans="1:2" x14ac:dyDescent="0.3">
      <c r="A86">
        <v>4.0999999999999996</v>
      </c>
      <c r="B86" s="3" cm="1">
        <f t="array" ref="B86">_xlfn.IFS(A86&lt;=$C$2,5,AND(A86&gt;$C$2,A86&lt;=$A$2),(5-(2/($A$2-$C$2))*(A86-$C$2)),AND(A86&gt;$A$2,A86&lt;=$B$2),(3-(2/($B$2-$A$2))*(A86-$A$2)),A86&gt;$B$2,0.1^((A86-$B$2)/$B$2))</f>
        <v>3.2</v>
      </c>
    </row>
    <row r="87" spans="1:2" x14ac:dyDescent="0.3">
      <c r="A87">
        <v>4.1500000000000004</v>
      </c>
      <c r="B87" s="3" cm="1">
        <f t="array" ref="B87">_xlfn.IFS(A87&lt;=$C$2,5,AND(A87&gt;$C$2,A87&lt;=$A$2),(5-(2/($A$2-$C$2))*(A87-$C$2)),AND(A87&gt;$A$2,A87&lt;=$B$2),(3-(2/($B$2-$A$2))*(A87-$A$2)),A87&gt;$B$2,0.1^((A87-$B$2)/$B$2))</f>
        <v>3.1749999999999998</v>
      </c>
    </row>
    <row r="88" spans="1:2" x14ac:dyDescent="0.3">
      <c r="A88">
        <v>4.2</v>
      </c>
      <c r="B88" s="3" cm="1">
        <f t="array" ref="B88">_xlfn.IFS(A88&lt;=$C$2,5,AND(A88&gt;$C$2,A88&lt;=$A$2),(5-(2/($A$2-$C$2))*(A88-$C$2)),AND(A88&gt;$A$2,A88&lt;=$B$2),(3-(2/($B$2-$A$2))*(A88-$A$2)),A88&gt;$B$2,0.1^((A88-$B$2)/$B$2))</f>
        <v>3.15</v>
      </c>
    </row>
    <row r="89" spans="1:2" x14ac:dyDescent="0.3">
      <c r="A89">
        <v>4.25</v>
      </c>
      <c r="B89" s="3" cm="1">
        <f t="array" ref="B89">_xlfn.IFS(A89&lt;=$C$2,5,AND(A89&gt;$C$2,A89&lt;=$A$2),(5-(2/($A$2-$C$2))*(A89-$C$2)),AND(A89&gt;$A$2,A89&lt;=$B$2),(3-(2/($B$2-$A$2))*(A89-$A$2)),A89&gt;$B$2,0.1^((A89-$B$2)/$B$2))</f>
        <v>3.125</v>
      </c>
    </row>
    <row r="90" spans="1:2" x14ac:dyDescent="0.3">
      <c r="A90">
        <v>4.3</v>
      </c>
      <c r="B90" s="3" cm="1">
        <f t="array" ref="B90">_xlfn.IFS(A90&lt;=$C$2,5,AND(A90&gt;$C$2,A90&lt;=$A$2),(5-(2/($A$2-$C$2))*(A90-$C$2)),AND(A90&gt;$A$2,A90&lt;=$B$2),(3-(2/($B$2-$A$2))*(A90-$A$2)),A90&gt;$B$2,0.1^((A90-$B$2)/$B$2))</f>
        <v>3.1</v>
      </c>
    </row>
    <row r="91" spans="1:2" x14ac:dyDescent="0.3">
      <c r="A91">
        <v>4.3499999999999996</v>
      </c>
      <c r="B91" s="3" cm="1">
        <f t="array" ref="B91">_xlfn.IFS(A91&lt;=$C$2,5,AND(A91&gt;$C$2,A91&lt;=$A$2),(5-(2/($A$2-$C$2))*(A91-$C$2)),AND(A91&gt;$A$2,A91&lt;=$B$2),(3-(2/($B$2-$A$2))*(A91-$A$2)),A91&gt;$B$2,0.1^((A91-$B$2)/$B$2))</f>
        <v>3.0750000000000002</v>
      </c>
    </row>
    <row r="92" spans="1:2" x14ac:dyDescent="0.3">
      <c r="A92">
        <v>4.4000000000000004</v>
      </c>
      <c r="B92" s="3" cm="1">
        <f t="array" ref="B92">_xlfn.IFS(A92&lt;=$C$2,5,AND(A92&gt;$C$2,A92&lt;=$A$2),(5-(2/($A$2-$C$2))*(A92-$C$2)),AND(A92&gt;$A$2,A92&lt;=$B$2),(3-(2/($B$2-$A$2))*(A92-$A$2)),A92&gt;$B$2,0.1^((A92-$B$2)/$B$2))</f>
        <v>3.05</v>
      </c>
    </row>
    <row r="93" spans="1:2" x14ac:dyDescent="0.3">
      <c r="A93">
        <v>4.45</v>
      </c>
      <c r="B93" s="3" cm="1">
        <f t="array" ref="B93">_xlfn.IFS(A93&lt;=$C$2,5,AND(A93&gt;$C$2,A93&lt;=$A$2),(5-(2/($A$2-$C$2))*(A93-$C$2)),AND(A93&gt;$A$2,A93&lt;=$B$2),(3-(2/($B$2-$A$2))*(A93-$A$2)),A93&gt;$B$2,0.1^((A93-$B$2)/$B$2))</f>
        <v>3.0249999999999999</v>
      </c>
    </row>
    <row r="94" spans="1:2" x14ac:dyDescent="0.3">
      <c r="A94">
        <v>4.5</v>
      </c>
      <c r="B94" s="3" cm="1">
        <f t="array" ref="B94">_xlfn.IFS(A94&lt;=$C$2,5,AND(A94&gt;$C$2,A94&lt;=$A$2),(5-(2/($A$2-$C$2))*(A94-$C$2)),AND(A94&gt;$A$2,A94&lt;=$B$2),(3-(2/($B$2-$A$2))*(A94-$A$2)),A94&gt;$B$2,0.1^((A94-$B$2)/$B$2))</f>
        <v>3</v>
      </c>
    </row>
    <row r="95" spans="1:2" x14ac:dyDescent="0.3">
      <c r="A95">
        <v>4.55</v>
      </c>
      <c r="B95" s="3" cm="1">
        <f t="array" ref="B95">_xlfn.IFS(A95&lt;=$C$2,5,AND(A95&gt;$C$2,A95&lt;=$A$2),(5-(2/($A$2-$C$2))*(A95-$C$2)),AND(A95&gt;$A$2,A95&lt;=$B$2),(3-(2/($B$2-$A$2))*(A95-$A$2)),A95&gt;$B$2,0.1^((A95-$B$2)/$B$2))</f>
        <v>2.9615384615384617</v>
      </c>
    </row>
    <row r="96" spans="1:2" x14ac:dyDescent="0.3">
      <c r="A96">
        <v>4.5999999999999996</v>
      </c>
      <c r="B96" s="3" cm="1">
        <f t="array" ref="B96">_xlfn.IFS(A96&lt;=$C$2,5,AND(A96&gt;$C$2,A96&lt;=$A$2),(5-(2/($A$2-$C$2))*(A96-$C$2)),AND(A96&gt;$A$2,A96&lt;=$B$2),(3-(2/($B$2-$A$2))*(A96-$A$2)),A96&gt;$B$2,0.1^((A96-$B$2)/$B$2))</f>
        <v>2.9230769230769234</v>
      </c>
    </row>
    <row r="97" spans="1:2" x14ac:dyDescent="0.3">
      <c r="A97">
        <v>4.6500000000000004</v>
      </c>
      <c r="B97" s="3" cm="1">
        <f t="array" ref="B97">_xlfn.IFS(A97&lt;=$C$2,5,AND(A97&gt;$C$2,A97&lt;=$A$2),(5-(2/($A$2-$C$2))*(A97-$C$2)),AND(A97&gt;$A$2,A97&lt;=$B$2),(3-(2/($B$2-$A$2))*(A97-$A$2)),A97&gt;$B$2,0.1^((A97-$B$2)/$B$2))</f>
        <v>2.8846153846153841</v>
      </c>
    </row>
    <row r="98" spans="1:2" x14ac:dyDescent="0.3">
      <c r="A98">
        <v>4.7</v>
      </c>
      <c r="B98" s="3" cm="1">
        <f t="array" ref="B98">_xlfn.IFS(A98&lt;=$C$2,5,AND(A98&gt;$C$2,A98&lt;=$A$2),(5-(2/($A$2-$C$2))*(A98-$C$2)),AND(A98&gt;$A$2,A98&lt;=$B$2),(3-(2/($B$2-$A$2))*(A98-$A$2)),A98&gt;$B$2,0.1^((A98-$B$2)/$B$2))</f>
        <v>2.8461538461538458</v>
      </c>
    </row>
    <row r="99" spans="1:2" x14ac:dyDescent="0.3">
      <c r="A99">
        <v>4.75</v>
      </c>
      <c r="B99" s="3" cm="1">
        <f t="array" ref="B99">_xlfn.IFS(A99&lt;=$C$2,5,AND(A99&gt;$C$2,A99&lt;=$A$2),(5-(2/($A$2-$C$2))*(A99-$C$2)),AND(A99&gt;$A$2,A99&lt;=$B$2),(3-(2/($B$2-$A$2))*(A99-$A$2)),A99&gt;$B$2,0.1^((A99-$B$2)/$B$2))</f>
        <v>2.8076923076923075</v>
      </c>
    </row>
    <row r="100" spans="1:2" x14ac:dyDescent="0.3">
      <c r="A100">
        <v>4.8</v>
      </c>
      <c r="B100" s="3" cm="1">
        <f t="array" ref="B100">_xlfn.IFS(A100&lt;=$C$2,5,AND(A100&gt;$C$2,A100&lt;=$A$2),(5-(2/($A$2-$C$2))*(A100-$C$2)),AND(A100&gt;$A$2,A100&lt;=$B$2),(3-(2/($B$2-$A$2))*(A100-$A$2)),A100&gt;$B$2,0.1^((A100-$B$2)/$B$2))</f>
        <v>2.7692307692307692</v>
      </c>
    </row>
    <row r="101" spans="1:2" x14ac:dyDescent="0.3">
      <c r="A101">
        <v>4.8499999999999996</v>
      </c>
      <c r="B101" s="3" cm="1">
        <f t="array" ref="B101">_xlfn.IFS(A101&lt;=$C$2,5,AND(A101&gt;$C$2,A101&lt;=$A$2),(5-(2/($A$2-$C$2))*(A101-$C$2)),AND(A101&gt;$A$2,A101&lt;=$B$2),(3-(2/($B$2-$A$2))*(A101-$A$2)),A101&gt;$B$2,0.1^((A101-$B$2)/$B$2))</f>
        <v>2.7307692307692308</v>
      </c>
    </row>
    <row r="102" spans="1:2" x14ac:dyDescent="0.3">
      <c r="A102">
        <v>4.9000000000000004</v>
      </c>
      <c r="B102" s="3" cm="1">
        <f t="array" ref="B102">_xlfn.IFS(A102&lt;=$C$2,5,AND(A102&gt;$C$2,A102&lt;=$A$2),(5-(2/($A$2-$C$2))*(A102-$C$2)),AND(A102&gt;$A$2,A102&lt;=$B$2),(3-(2/($B$2-$A$2))*(A102-$A$2)),A102&gt;$B$2,0.1^((A102-$B$2)/$B$2))</f>
        <v>2.6923076923076921</v>
      </c>
    </row>
    <row r="103" spans="1:2" x14ac:dyDescent="0.3">
      <c r="A103">
        <v>4.95</v>
      </c>
      <c r="B103" s="3" cm="1">
        <f t="array" ref="B103">_xlfn.IFS(A103&lt;=$C$2,5,AND(A103&gt;$C$2,A103&lt;=$A$2),(5-(2/($A$2-$C$2))*(A103-$C$2)),AND(A103&gt;$A$2,A103&lt;=$B$2),(3-(2/($B$2-$A$2))*(A103-$A$2)),A103&gt;$B$2,0.1^((A103-$B$2)/$B$2))</f>
        <v>2.6538461538461537</v>
      </c>
    </row>
    <row r="104" spans="1:2" x14ac:dyDescent="0.3">
      <c r="A104">
        <v>5</v>
      </c>
      <c r="B104" s="3" cm="1">
        <f t="array" ref="B104">_xlfn.IFS(A104&lt;=$C$2,5,AND(A104&gt;$C$2,A104&lt;=$A$2),(5-(2/($A$2-$C$2))*(A104-$C$2)),AND(A104&gt;$A$2,A104&lt;=$B$2),(3-(2/($B$2-$A$2))*(A104-$A$2)),A104&gt;$B$2,0.1^((A104-$B$2)/$B$2))</f>
        <v>2.6153846153846154</v>
      </c>
    </row>
    <row r="105" spans="1:2" x14ac:dyDescent="0.3">
      <c r="A105">
        <v>5.05</v>
      </c>
      <c r="B105" s="3" cm="1">
        <f t="array" ref="B105">_xlfn.IFS(A105&lt;=$C$2,5,AND(A105&gt;$C$2,A105&lt;=$A$2),(5-(2/($A$2-$C$2))*(A105-$C$2)),AND(A105&gt;$A$2,A105&lt;=$B$2),(3-(2/($B$2-$A$2))*(A105-$A$2)),A105&gt;$B$2,0.1^((A105-$B$2)/$B$2))</f>
        <v>2.5769230769230771</v>
      </c>
    </row>
    <row r="106" spans="1:2" x14ac:dyDescent="0.3">
      <c r="A106">
        <v>5.0999999999999996</v>
      </c>
      <c r="B106" s="3" cm="1">
        <f t="array" ref="B106">_xlfn.IFS(A106&lt;=$C$2,5,AND(A106&gt;$C$2,A106&lt;=$A$2),(5-(2/($A$2-$C$2))*(A106-$C$2)),AND(A106&gt;$A$2,A106&lt;=$B$2),(3-(2/($B$2-$A$2))*(A106-$A$2)),A106&gt;$B$2,0.1^((A106-$B$2)/$B$2))</f>
        <v>2.5384615384615388</v>
      </c>
    </row>
    <row r="107" spans="1:2" x14ac:dyDescent="0.3">
      <c r="A107">
        <v>5.15</v>
      </c>
      <c r="B107" s="3" cm="1">
        <f t="array" ref="B107">_xlfn.IFS(A107&lt;=$C$2,5,AND(A107&gt;$C$2,A107&lt;=$A$2),(5-(2/($A$2-$C$2))*(A107-$C$2)),AND(A107&gt;$A$2,A107&lt;=$B$2),(3-(2/($B$2-$A$2))*(A107-$A$2)),A107&gt;$B$2,0.1^((A107-$B$2)/$B$2))</f>
        <v>2.4999999999999996</v>
      </c>
    </row>
    <row r="108" spans="1:2" x14ac:dyDescent="0.3">
      <c r="A108">
        <v>5.2</v>
      </c>
      <c r="B108" s="3" cm="1">
        <f t="array" ref="B108">_xlfn.IFS(A108&lt;=$C$2,5,AND(A108&gt;$C$2,A108&lt;=$A$2),(5-(2/($A$2-$C$2))*(A108-$C$2)),AND(A108&gt;$A$2,A108&lt;=$B$2),(3-(2/($B$2-$A$2))*(A108-$A$2)),A108&gt;$B$2,0.1^((A108-$B$2)/$B$2))</f>
        <v>2.4615384615384612</v>
      </c>
    </row>
    <row r="109" spans="1:2" x14ac:dyDescent="0.3">
      <c r="A109">
        <v>5.25</v>
      </c>
      <c r="B109" s="3" cm="1">
        <f t="array" ref="B109">_xlfn.IFS(A109&lt;=$C$2,5,AND(A109&gt;$C$2,A109&lt;=$A$2),(5-(2/($A$2-$C$2))*(A109-$C$2)),AND(A109&gt;$A$2,A109&lt;=$B$2),(3-(2/($B$2-$A$2))*(A109-$A$2)),A109&gt;$B$2,0.1^((A109-$B$2)/$B$2))</f>
        <v>2.4230769230769229</v>
      </c>
    </row>
    <row r="110" spans="1:2" x14ac:dyDescent="0.3">
      <c r="A110">
        <v>5.3</v>
      </c>
      <c r="B110" s="3" cm="1">
        <f t="array" ref="B110">_xlfn.IFS(A110&lt;=$C$2,5,AND(A110&gt;$C$2,A110&lt;=$A$2),(5-(2/($A$2-$C$2))*(A110-$C$2)),AND(A110&gt;$A$2,A110&lt;=$B$2),(3-(2/($B$2-$A$2))*(A110-$A$2)),A110&gt;$B$2,0.1^((A110-$B$2)/$B$2))</f>
        <v>2.3846153846153846</v>
      </c>
    </row>
    <row r="111" spans="1:2" x14ac:dyDescent="0.3">
      <c r="A111">
        <v>5.35</v>
      </c>
      <c r="B111" s="3" cm="1">
        <f t="array" ref="B111">_xlfn.IFS(A111&lt;=$C$2,5,AND(A111&gt;$C$2,A111&lt;=$A$2),(5-(2/($A$2-$C$2))*(A111-$C$2)),AND(A111&gt;$A$2,A111&lt;=$B$2),(3-(2/($B$2-$A$2))*(A111-$A$2)),A111&gt;$B$2,0.1^((A111-$B$2)/$B$2))</f>
        <v>2.3461538461538463</v>
      </c>
    </row>
    <row r="112" spans="1:2" x14ac:dyDescent="0.3">
      <c r="A112">
        <v>5.4</v>
      </c>
      <c r="B112" s="3" cm="1">
        <f t="array" ref="B112">_xlfn.IFS(A112&lt;=$C$2,5,AND(A112&gt;$C$2,A112&lt;=$A$2),(5-(2/($A$2-$C$2))*(A112-$C$2)),AND(A112&gt;$A$2,A112&lt;=$B$2),(3-(2/($B$2-$A$2))*(A112-$A$2)),A112&gt;$B$2,0.1^((A112-$B$2)/$B$2))</f>
        <v>2.3076923076923075</v>
      </c>
    </row>
    <row r="113" spans="1:2" x14ac:dyDescent="0.3">
      <c r="A113">
        <v>5.45</v>
      </c>
      <c r="B113" s="3" cm="1">
        <f t="array" ref="B113">_xlfn.IFS(A113&lt;=$C$2,5,AND(A113&gt;$C$2,A113&lt;=$A$2),(5-(2/($A$2-$C$2))*(A113-$C$2)),AND(A113&gt;$A$2,A113&lt;=$B$2),(3-(2/($B$2-$A$2))*(A113-$A$2)),A113&gt;$B$2,0.1^((A113-$B$2)/$B$2))</f>
        <v>2.2692307692307692</v>
      </c>
    </row>
    <row r="114" spans="1:2" x14ac:dyDescent="0.3">
      <c r="A114">
        <v>5.5</v>
      </c>
      <c r="B114" s="3" cm="1">
        <f t="array" ref="B114">_xlfn.IFS(A114&lt;=$C$2,5,AND(A114&gt;$C$2,A114&lt;=$A$2),(5-(2/($A$2-$C$2))*(A114-$C$2)),AND(A114&gt;$A$2,A114&lt;=$B$2),(3-(2/($B$2-$A$2))*(A114-$A$2)),A114&gt;$B$2,0.1^((A114-$B$2)/$B$2))</f>
        <v>2.2307692307692308</v>
      </c>
    </row>
    <row r="115" spans="1:2" x14ac:dyDescent="0.3">
      <c r="A115">
        <v>5.55</v>
      </c>
      <c r="B115" s="3" cm="1">
        <f t="array" ref="B115">_xlfn.IFS(A115&lt;=$C$2,5,AND(A115&gt;$C$2,A115&lt;=$A$2),(5-(2/($A$2-$C$2))*(A115-$C$2)),AND(A115&gt;$A$2,A115&lt;=$B$2),(3-(2/($B$2-$A$2))*(A115-$A$2)),A115&gt;$B$2,0.1^((A115-$B$2)/$B$2))</f>
        <v>2.1923076923076925</v>
      </c>
    </row>
    <row r="116" spans="1:2" x14ac:dyDescent="0.3">
      <c r="A116">
        <v>5.6</v>
      </c>
      <c r="B116" s="3" cm="1">
        <f t="array" ref="B116">_xlfn.IFS(A116&lt;=$C$2,5,AND(A116&gt;$C$2,A116&lt;=$A$2),(5-(2/($A$2-$C$2))*(A116-$C$2)),AND(A116&gt;$A$2,A116&lt;=$B$2),(3-(2/($B$2-$A$2))*(A116-$A$2)),A116&gt;$B$2,0.1^((A116-$B$2)/$B$2))</f>
        <v>2.1538461538461542</v>
      </c>
    </row>
    <row r="117" spans="1:2" x14ac:dyDescent="0.3">
      <c r="A117">
        <v>5.65</v>
      </c>
      <c r="B117" s="3" cm="1">
        <f t="array" ref="B117">_xlfn.IFS(A117&lt;=$C$2,5,AND(A117&gt;$C$2,A117&lt;=$A$2),(5-(2/($A$2-$C$2))*(A117-$C$2)),AND(A117&gt;$A$2,A117&lt;=$B$2),(3-(2/($B$2-$A$2))*(A117-$A$2)),A117&gt;$B$2,0.1^((A117-$B$2)/$B$2))</f>
        <v>2.115384615384615</v>
      </c>
    </row>
    <row r="118" spans="1:2" x14ac:dyDescent="0.3">
      <c r="A118">
        <v>5.7</v>
      </c>
      <c r="B118" s="3" cm="1">
        <f t="array" ref="B118">_xlfn.IFS(A118&lt;=$C$2,5,AND(A118&gt;$C$2,A118&lt;=$A$2),(5-(2/($A$2-$C$2))*(A118-$C$2)),AND(A118&gt;$A$2,A118&lt;=$B$2),(3-(2/($B$2-$A$2))*(A118-$A$2)),A118&gt;$B$2,0.1^((A118-$B$2)/$B$2))</f>
        <v>2.0769230769230766</v>
      </c>
    </row>
    <row r="119" spans="1:2" x14ac:dyDescent="0.3">
      <c r="A119">
        <v>5.75</v>
      </c>
      <c r="B119" s="3" cm="1">
        <f t="array" ref="B119">_xlfn.IFS(A119&lt;=$C$2,5,AND(A119&gt;$C$2,A119&lt;=$A$2),(5-(2/($A$2-$C$2))*(A119-$C$2)),AND(A119&gt;$A$2,A119&lt;=$B$2),(3-(2/($B$2-$A$2))*(A119-$A$2)),A119&gt;$B$2,0.1^((A119-$B$2)/$B$2))</f>
        <v>2.0384615384615383</v>
      </c>
    </row>
    <row r="120" spans="1:2" x14ac:dyDescent="0.3">
      <c r="A120">
        <v>5.8</v>
      </c>
      <c r="B120" s="3" cm="1">
        <f t="array" ref="B120">_xlfn.IFS(A120&lt;=$C$2,5,AND(A120&gt;$C$2,A120&lt;=$A$2),(5-(2/($A$2-$C$2))*(A120-$C$2)),AND(A120&gt;$A$2,A120&lt;=$B$2),(3-(2/($B$2-$A$2))*(A120-$A$2)),A120&gt;$B$2,0.1^((A120-$B$2)/$B$2))</f>
        <v>2</v>
      </c>
    </row>
    <row r="121" spans="1:2" x14ac:dyDescent="0.3">
      <c r="A121">
        <v>5.85</v>
      </c>
      <c r="B121" s="3" cm="1">
        <f t="array" ref="B121">_xlfn.IFS(A121&lt;=$C$2,5,AND(A121&gt;$C$2,A121&lt;=$A$2),(5-(2/($A$2-$C$2))*(A121-$C$2)),AND(A121&gt;$A$2,A121&lt;=$B$2),(3-(2/($B$2-$A$2))*(A121-$A$2)),A121&gt;$B$2,0.1^((A121-$B$2)/$B$2))</f>
        <v>1.9615384615384617</v>
      </c>
    </row>
    <row r="122" spans="1:2" x14ac:dyDescent="0.3">
      <c r="A122">
        <v>5.9</v>
      </c>
      <c r="B122" s="3" cm="1">
        <f t="array" ref="B122">_xlfn.IFS(A122&lt;=$C$2,5,AND(A122&gt;$C$2,A122&lt;=$A$2),(5-(2/($A$2-$C$2))*(A122-$C$2)),AND(A122&gt;$A$2,A122&lt;=$B$2),(3-(2/($B$2-$A$2))*(A122-$A$2)),A122&gt;$B$2,0.1^((A122-$B$2)/$B$2))</f>
        <v>1.9230769230769227</v>
      </c>
    </row>
    <row r="123" spans="1:2" x14ac:dyDescent="0.3">
      <c r="A123">
        <v>5.95</v>
      </c>
      <c r="B123" s="3" cm="1">
        <f t="array" ref="B123">_xlfn.IFS(A123&lt;=$C$2,5,AND(A123&gt;$C$2,A123&lt;=$A$2),(5-(2/($A$2-$C$2))*(A123-$C$2)),AND(A123&gt;$A$2,A123&lt;=$B$2),(3-(2/($B$2-$A$2))*(A123-$A$2)),A123&gt;$B$2,0.1^((A123-$B$2)/$B$2))</f>
        <v>1.8846153846153844</v>
      </c>
    </row>
    <row r="124" spans="1:2" x14ac:dyDescent="0.3">
      <c r="A124">
        <v>6</v>
      </c>
      <c r="B124" s="3" cm="1">
        <f t="array" ref="B124">_xlfn.IFS(A124&lt;=$C$2,5,AND(A124&gt;$C$2,A124&lt;=$A$2),(5-(2/($A$2-$C$2))*(A124-$C$2)),AND(A124&gt;$A$2,A124&lt;=$B$2),(3-(2/($B$2-$A$2))*(A124-$A$2)),A124&gt;$B$2,0.1^((A124-$B$2)/$B$2))</f>
        <v>1.8461538461538458</v>
      </c>
    </row>
    <row r="125" spans="1:2" x14ac:dyDescent="0.3">
      <c r="A125">
        <v>6.05</v>
      </c>
      <c r="B125" s="3" cm="1">
        <f t="array" ref="B125">_xlfn.IFS(A125&lt;=$C$2,5,AND(A125&gt;$C$2,A125&lt;=$A$2),(5-(2/($A$2-$C$2))*(A125-$C$2)),AND(A125&gt;$A$2,A125&lt;=$B$2),(3-(2/($B$2-$A$2))*(A125-$A$2)),A125&gt;$B$2,0.1^((A125-$B$2)/$B$2))</f>
        <v>1.8076923076923075</v>
      </c>
    </row>
    <row r="126" spans="1:2" x14ac:dyDescent="0.3">
      <c r="A126">
        <v>6.1</v>
      </c>
      <c r="B126" s="3" cm="1">
        <f t="array" ref="B126">_xlfn.IFS(A126&lt;=$C$2,5,AND(A126&gt;$C$2,A126&lt;=$A$2),(5-(2/($A$2-$C$2))*(A126-$C$2)),AND(A126&gt;$A$2,A126&lt;=$B$2),(3-(2/($B$2-$A$2))*(A126-$A$2)),A126&gt;$B$2,0.1^((A126-$B$2)/$B$2))</f>
        <v>1.7692307692307692</v>
      </c>
    </row>
    <row r="127" spans="1:2" x14ac:dyDescent="0.3">
      <c r="A127">
        <v>6.15</v>
      </c>
      <c r="B127" s="3" cm="1">
        <f t="array" ref="B127">_xlfn.IFS(A127&lt;=$C$2,5,AND(A127&gt;$C$2,A127&lt;=$A$2),(5-(2/($A$2-$C$2))*(A127-$C$2)),AND(A127&gt;$A$2,A127&lt;=$B$2),(3-(2/($B$2-$A$2))*(A127-$A$2)),A127&gt;$B$2,0.1^((A127-$B$2)/$B$2))</f>
        <v>1.7307692307692302</v>
      </c>
    </row>
    <row r="128" spans="1:2" x14ac:dyDescent="0.3">
      <c r="A128">
        <v>6.2</v>
      </c>
      <c r="B128" s="3" cm="1">
        <f t="array" ref="B128">_xlfn.IFS(A128&lt;=$C$2,5,AND(A128&gt;$C$2,A128&lt;=$A$2),(5-(2/($A$2-$C$2))*(A128-$C$2)),AND(A128&gt;$A$2,A128&lt;=$B$2),(3-(2/($B$2-$A$2))*(A128-$A$2)),A128&gt;$B$2,0.1^((A128-$B$2)/$B$2))</f>
        <v>1.6923076923076918</v>
      </c>
    </row>
    <row r="129" spans="1:2" x14ac:dyDescent="0.3">
      <c r="A129">
        <v>6.25</v>
      </c>
      <c r="B129" s="3" cm="1">
        <f t="array" ref="B129">_xlfn.IFS(A129&lt;=$C$2,5,AND(A129&gt;$C$2,A129&lt;=$A$2),(5-(2/($A$2-$C$2))*(A129-$C$2)),AND(A129&gt;$A$2,A129&lt;=$B$2),(3-(2/($B$2-$A$2))*(A129-$A$2)),A129&gt;$B$2,0.1^((A129-$B$2)/$B$2))</f>
        <v>1.6538461538461535</v>
      </c>
    </row>
    <row r="130" spans="1:2" x14ac:dyDescent="0.3">
      <c r="A130">
        <v>6.3</v>
      </c>
      <c r="B130" s="3" cm="1">
        <f t="array" ref="B130">_xlfn.IFS(A130&lt;=$C$2,5,AND(A130&gt;$C$2,A130&lt;=$A$2),(5-(2/($A$2-$C$2))*(A130-$C$2)),AND(A130&gt;$A$2,A130&lt;=$B$2),(3-(2/($B$2-$A$2))*(A130-$A$2)),A130&gt;$B$2,0.1^((A130-$B$2)/$B$2))</f>
        <v>1.6153846153846152</v>
      </c>
    </row>
    <row r="131" spans="1:2" x14ac:dyDescent="0.3">
      <c r="A131">
        <v>6.35</v>
      </c>
      <c r="B131" s="3" cm="1">
        <f t="array" ref="B131">_xlfn.IFS(A131&lt;=$C$2,5,AND(A131&gt;$C$2,A131&lt;=$A$2),(5-(2/($A$2-$C$2))*(A131-$C$2)),AND(A131&gt;$A$2,A131&lt;=$B$2),(3-(2/($B$2-$A$2))*(A131-$A$2)),A131&gt;$B$2,0.1^((A131-$B$2)/$B$2))</f>
        <v>1.5769230769230769</v>
      </c>
    </row>
    <row r="132" spans="1:2" x14ac:dyDescent="0.3">
      <c r="A132">
        <v>6.4</v>
      </c>
      <c r="B132" s="3" cm="1">
        <f t="array" ref="B132">_xlfn.IFS(A132&lt;=$C$2,5,AND(A132&gt;$C$2,A132&lt;=$A$2),(5-(2/($A$2-$C$2))*(A132-$C$2)),AND(A132&gt;$A$2,A132&lt;=$B$2),(3-(2/($B$2-$A$2))*(A132-$A$2)),A132&gt;$B$2,0.1^((A132-$B$2)/$B$2))</f>
        <v>1.5384615384615379</v>
      </c>
    </row>
    <row r="133" spans="1:2" x14ac:dyDescent="0.3">
      <c r="A133">
        <v>6.45</v>
      </c>
      <c r="B133" s="3" cm="1">
        <f t="array" ref="B133">_xlfn.IFS(A133&lt;=$C$2,5,AND(A133&gt;$C$2,A133&lt;=$A$2),(5-(2/($A$2-$C$2))*(A133-$C$2)),AND(A133&gt;$A$2,A133&lt;=$B$2),(3-(2/($B$2-$A$2))*(A133-$A$2)),A133&gt;$B$2,0.1^((A133-$B$2)/$B$2))</f>
        <v>1.4999999999999996</v>
      </c>
    </row>
    <row r="134" spans="1:2" x14ac:dyDescent="0.3">
      <c r="A134">
        <v>6.5</v>
      </c>
      <c r="B134" s="3" cm="1">
        <f t="array" ref="B134">_xlfn.IFS(A134&lt;=$C$2,5,AND(A134&gt;$C$2,A134&lt;=$A$2),(5-(2/($A$2-$C$2))*(A134-$C$2)),AND(A134&gt;$A$2,A134&lt;=$B$2),(3-(2/($B$2-$A$2))*(A134-$A$2)),A134&gt;$B$2,0.1^((A134-$B$2)/$B$2))</f>
        <v>1.4615384615384612</v>
      </c>
    </row>
    <row r="135" spans="1:2" x14ac:dyDescent="0.3">
      <c r="A135">
        <v>6.55</v>
      </c>
      <c r="B135" s="3" cm="1">
        <f t="array" ref="B135">_xlfn.IFS(A135&lt;=$C$2,5,AND(A135&gt;$C$2,A135&lt;=$A$2),(5-(2/($A$2-$C$2))*(A135-$C$2)),AND(A135&gt;$A$2,A135&lt;=$B$2),(3-(2/($B$2-$A$2))*(A135-$A$2)),A135&gt;$B$2,0.1^((A135-$B$2)/$B$2))</f>
        <v>1.4230769230769229</v>
      </c>
    </row>
    <row r="136" spans="1:2" x14ac:dyDescent="0.3">
      <c r="A136">
        <v>6.6</v>
      </c>
      <c r="B136" s="3" cm="1">
        <f t="array" ref="B136">_xlfn.IFS(A136&lt;=$C$2,5,AND(A136&gt;$C$2,A136&lt;=$A$2),(5-(2/($A$2-$C$2))*(A136-$C$2)),AND(A136&gt;$A$2,A136&lt;=$B$2),(3-(2/($B$2-$A$2))*(A136-$A$2)),A136&gt;$B$2,0.1^((A136-$B$2)/$B$2))</f>
        <v>1.3846153846153846</v>
      </c>
    </row>
    <row r="137" spans="1:2" x14ac:dyDescent="0.3">
      <c r="A137">
        <v>6.65</v>
      </c>
      <c r="B137" s="3" cm="1">
        <f t="array" ref="B137">_xlfn.IFS(A137&lt;=$C$2,5,AND(A137&gt;$C$2,A137&lt;=$A$2),(5-(2/($A$2-$C$2))*(A137-$C$2)),AND(A137&gt;$A$2,A137&lt;=$B$2),(3-(2/($B$2-$A$2))*(A137-$A$2)),A137&gt;$B$2,0.1^((A137-$B$2)/$B$2))</f>
        <v>1.3461538461538456</v>
      </c>
    </row>
    <row r="138" spans="1:2" x14ac:dyDescent="0.3">
      <c r="A138">
        <v>6.7</v>
      </c>
      <c r="B138" s="3" cm="1">
        <f t="array" ref="B138">_xlfn.IFS(A138&lt;=$C$2,5,AND(A138&gt;$C$2,A138&lt;=$A$2),(5-(2/($A$2-$C$2))*(A138-$C$2)),AND(A138&gt;$A$2,A138&lt;=$B$2),(3-(2/($B$2-$A$2))*(A138-$A$2)),A138&gt;$B$2,0.1^((A138-$B$2)/$B$2))</f>
        <v>1.3076923076923073</v>
      </c>
    </row>
    <row r="139" spans="1:2" x14ac:dyDescent="0.3">
      <c r="A139">
        <v>6.75</v>
      </c>
      <c r="B139" s="3" cm="1">
        <f t="array" ref="B139">_xlfn.IFS(A139&lt;=$C$2,5,AND(A139&gt;$C$2,A139&lt;=$A$2),(5-(2/($A$2-$C$2))*(A139-$C$2)),AND(A139&gt;$A$2,A139&lt;=$B$2),(3-(2/($B$2-$A$2))*(A139-$A$2)),A139&gt;$B$2,0.1^((A139-$B$2)/$B$2))</f>
        <v>1.2692307692307689</v>
      </c>
    </row>
    <row r="140" spans="1:2" x14ac:dyDescent="0.3">
      <c r="A140">
        <v>6.8</v>
      </c>
      <c r="B140" s="3" cm="1">
        <f t="array" ref="B140">_xlfn.IFS(A140&lt;=$C$2,5,AND(A140&gt;$C$2,A140&lt;=$A$2),(5-(2/($A$2-$C$2))*(A140-$C$2)),AND(A140&gt;$A$2,A140&lt;=$B$2),(3-(2/($B$2-$A$2))*(A140-$A$2)),A140&gt;$B$2,0.1^((A140-$B$2)/$B$2))</f>
        <v>1.2307692307692306</v>
      </c>
    </row>
    <row r="141" spans="1:2" x14ac:dyDescent="0.3">
      <c r="A141">
        <v>6.85</v>
      </c>
      <c r="B141" s="3" cm="1">
        <f t="array" ref="B141">_xlfn.IFS(A141&lt;=$C$2,5,AND(A141&gt;$C$2,A141&lt;=$A$2),(5-(2/($A$2-$C$2))*(A141-$C$2)),AND(A141&gt;$A$2,A141&lt;=$B$2),(3-(2/($B$2-$A$2))*(A141-$A$2)),A141&gt;$B$2,0.1^((A141-$B$2)/$B$2))</f>
        <v>1.1923076923076923</v>
      </c>
    </row>
    <row r="142" spans="1:2" x14ac:dyDescent="0.3">
      <c r="A142">
        <v>6.9</v>
      </c>
      <c r="B142" s="3" cm="1">
        <f t="array" ref="B142">_xlfn.IFS(A142&lt;=$C$2,5,AND(A142&gt;$C$2,A142&lt;=$A$2),(5-(2/($A$2-$C$2))*(A142-$C$2)),AND(A142&gt;$A$2,A142&lt;=$B$2),(3-(2/($B$2-$A$2))*(A142-$A$2)),A142&gt;$B$2,0.1^((A142-$B$2)/$B$2))</f>
        <v>1.1538461538461533</v>
      </c>
    </row>
    <row r="143" spans="1:2" x14ac:dyDescent="0.3">
      <c r="A143">
        <v>6.95</v>
      </c>
      <c r="B143" s="3" cm="1">
        <f t="array" ref="B143">_xlfn.IFS(A143&lt;=$C$2,5,AND(A143&gt;$C$2,A143&lt;=$A$2),(5-(2/($A$2-$C$2))*(A143-$C$2)),AND(A143&gt;$A$2,A143&lt;=$B$2),(3-(2/($B$2-$A$2))*(A143-$A$2)),A143&gt;$B$2,0.1^((A143-$B$2)/$B$2))</f>
        <v>1.115384615384615</v>
      </c>
    </row>
    <row r="144" spans="1:2" x14ac:dyDescent="0.3">
      <c r="A144">
        <v>7</v>
      </c>
      <c r="B144" s="3" cm="1">
        <f t="array" ref="B144">_xlfn.IFS(A144&lt;=$C$2,5,AND(A144&gt;$C$2,A144&lt;=$A$2),(5-(2/($A$2-$C$2))*(A144-$C$2)),AND(A144&gt;$A$2,A144&lt;=$B$2),(3-(2/($B$2-$A$2))*(A144-$A$2)),A144&gt;$B$2,0.1^((A144-$B$2)/$B$2))</f>
        <v>1.0769230769230766</v>
      </c>
    </row>
    <row r="145" spans="1:2" x14ac:dyDescent="0.3">
      <c r="A145">
        <v>7.05</v>
      </c>
      <c r="B145" s="3" cm="1">
        <f t="array" ref="B145">_xlfn.IFS(A145&lt;=$C$2,5,AND(A145&gt;$C$2,A145&lt;=$A$2),(5-(2/($A$2-$C$2))*(A145-$C$2)),AND(A145&gt;$A$2,A145&lt;=$B$2),(3-(2/($B$2-$A$2))*(A145-$A$2)),A145&gt;$B$2,0.1^((A145-$B$2)/$B$2))</f>
        <v>1.0384615384615381</v>
      </c>
    </row>
    <row r="146" spans="1:2" x14ac:dyDescent="0.3">
      <c r="A146">
        <v>7.1</v>
      </c>
      <c r="B146" s="3" cm="1">
        <f t="array" ref="B146">_xlfn.IFS(A146&lt;=$C$2,5,AND(A146&gt;$C$2,A146&lt;=$A$2),(5-(2/($A$2-$C$2))*(A146-$C$2)),AND(A146&gt;$A$2,A146&lt;=$B$2),(3-(2/($B$2-$A$2))*(A146-$A$2)),A146&gt;$B$2,0.1^((A146-$B$2)/$B$2))</f>
        <v>1</v>
      </c>
    </row>
    <row r="147" spans="1:2" x14ac:dyDescent="0.3">
      <c r="A147">
        <v>7.15</v>
      </c>
      <c r="B147" s="3" cm="1">
        <f t="array" ref="B147">_xlfn.IFS(A147&lt;=$C$2,5,AND(A147&gt;$C$2,A147&lt;=$A$2),(5-(2/($A$2-$C$2))*(A147-$C$2)),AND(A147&gt;$A$2,A147&lt;=$B$2),(3-(2/($B$2-$A$2))*(A147-$A$2)),A147&gt;$B$2,0.1^((A147-$B$2)/$B$2))</f>
        <v>0.98391537368707482</v>
      </c>
    </row>
    <row r="148" spans="1:2" x14ac:dyDescent="0.3">
      <c r="A148">
        <v>7.2</v>
      </c>
      <c r="B148" s="3" cm="1">
        <f t="array" ref="B148">_xlfn.IFS(A148&lt;=$C$2,5,AND(A148&gt;$C$2,A148&lt;=$A$2),(5-(2/($A$2-$C$2))*(A148-$C$2)),AND(A148&gt;$A$2,A148&lt;=$B$2),(3-(2/($B$2-$A$2))*(A148-$A$2)),A148&gt;$B$2,0.1^((A148-$B$2)/$B$2))</f>
        <v>0.96808946257777639</v>
      </c>
    </row>
    <row r="149" spans="1:2" x14ac:dyDescent="0.3">
      <c r="A149">
        <v>7.25</v>
      </c>
      <c r="B149" s="3" cm="1">
        <f t="array" ref="B149">_xlfn.IFS(A149&lt;=$C$2,5,AND(A149&gt;$C$2,A149&lt;=$A$2),(5-(2/($A$2-$C$2))*(A149-$C$2)),AND(A149&gt;$A$2,A149&lt;=$B$2),(3-(2/($B$2-$A$2))*(A149-$A$2)),A149&gt;$B$2,0.1^((A149-$B$2)/$B$2))</f>
        <v>0.95251810533473258</v>
      </c>
    </row>
    <row r="150" spans="1:2" x14ac:dyDescent="0.3">
      <c r="A150">
        <v>7.3</v>
      </c>
      <c r="B150" s="3" cm="1">
        <f t="array" ref="B150">_xlfn.IFS(A150&lt;=$C$2,5,AND(A150&gt;$C$2,A150&lt;=$A$2),(5-(2/($A$2-$C$2))*(A150-$C$2)),AND(A150&gt;$A$2,A150&lt;=$B$2),(3-(2/($B$2-$A$2))*(A150-$A$2)),A150&gt;$B$2,0.1^((A150-$B$2)/$B$2))</f>
        <v>0.93719720755412816</v>
      </c>
    </row>
    <row r="151" spans="1:2" x14ac:dyDescent="0.3">
      <c r="A151">
        <v>7.35</v>
      </c>
      <c r="B151" s="3" cm="1">
        <f t="array" ref="B151">_xlfn.IFS(A151&lt;=$C$2,5,AND(A151&gt;$C$2,A151&lt;=$A$2),(5-(2/($A$2-$C$2))*(A151-$C$2)),AND(A151&gt;$A$2,A151&lt;=$B$2),(3-(2/($B$2-$A$2))*(A151-$A$2)),A151&gt;$B$2,0.1^((A151-$B$2)/$B$2))</f>
        <v>0.92212274068910327</v>
      </c>
    </row>
    <row r="152" spans="1:2" x14ac:dyDescent="0.3">
      <c r="A152">
        <v>7.4</v>
      </c>
      <c r="B152" s="3" cm="1">
        <f t="array" ref="B152">_xlfn.IFS(A152&lt;=$C$2,5,AND(A152&gt;$C$2,A152&lt;=$A$2),(5-(2/($A$2-$C$2))*(A152-$C$2)),AND(A152&gt;$A$2,A152&lt;=$B$2),(3-(2/($B$2-$A$2))*(A152-$A$2)),A152&gt;$B$2,0.1^((A152-$B$2)/$B$2))</f>
        <v>0.90729074099046869</v>
      </c>
    </row>
    <row r="153" spans="1:2" x14ac:dyDescent="0.3">
      <c r="A153">
        <v>7.45</v>
      </c>
      <c r="B153" s="3" cm="1">
        <f t="array" ref="B153">_xlfn.IFS(A153&lt;=$C$2,5,AND(A153&gt;$C$2,A153&lt;=$A$2),(5-(2/($A$2-$C$2))*(A153-$C$2)),AND(A153&gt;$A$2,A153&lt;=$B$2),(3-(2/($B$2-$A$2))*(A153-$A$2)),A153&gt;$B$2,0.1^((A153-$B$2)/$B$2))</f>
        <v>0.89269730846446027</v>
      </c>
    </row>
    <row r="154" spans="1:2" x14ac:dyDescent="0.3">
      <c r="A154">
        <v>7.5</v>
      </c>
      <c r="B154" s="3" cm="1">
        <f t="array" ref="B154">_xlfn.IFS(A154&lt;=$C$2,5,AND(A154&gt;$C$2,A154&lt;=$A$2),(5-(2/($A$2-$C$2))*(A154-$C$2)),AND(A154&gt;$A$2,A154&lt;=$B$2),(3-(2/($B$2-$A$2))*(A154-$A$2)),A154&gt;$B$2,0.1^((A154-$B$2)/$B$2))</f>
        <v>0.87833860584725565</v>
      </c>
    </row>
    <row r="155" spans="1:2" x14ac:dyDescent="0.3">
      <c r="A155">
        <v>7.55</v>
      </c>
      <c r="B155" s="3" cm="1">
        <f t="array" ref="B155">_xlfn.IFS(A155&lt;=$C$2,5,AND(A155&gt;$C$2,A155&lt;=$A$2),(5-(2/($A$2-$C$2))*(A155-$C$2)),AND(A155&gt;$A$2,A155&lt;=$B$2),(3-(2/($B$2-$A$2))*(A155-$A$2)),A155&gt;$B$2,0.1^((A155-$B$2)/$B$2))</f>
        <v>0.86421085759598704</v>
      </c>
    </row>
    <row r="156" spans="1:2" x14ac:dyDescent="0.3">
      <c r="A156">
        <v>7.6</v>
      </c>
      <c r="B156" s="3" cm="1">
        <f t="array" ref="B156">_xlfn.IFS(A156&lt;=$C$2,5,AND(A156&gt;$C$2,A156&lt;=$A$2),(5-(2/($A$2-$C$2))*(A156-$C$2)),AND(A156&gt;$A$2,A156&lt;=$B$2),(3-(2/($B$2-$A$2))*(A156-$A$2)),A156&gt;$B$2,0.1^((A156-$B$2)/$B$2))</f>
        <v>0.85031034889598323</v>
      </c>
    </row>
    <row r="157" spans="1:2" x14ac:dyDescent="0.3">
      <c r="A157">
        <v>7.65</v>
      </c>
      <c r="B157" s="3" cm="1">
        <f t="array" ref="B157">_xlfn.IFS(A157&lt;=$C$2,5,AND(A157&gt;$C$2,A157&lt;=$A$2),(5-(2/($A$2-$C$2))*(A157-$C$2)),AND(A157&gt;$A$2,A157&lt;=$B$2),(3-(2/($B$2-$A$2))*(A157-$A$2)),A157&gt;$B$2,0.1^((A157-$B$2)/$B$2))</f>
        <v>0.83663342468397839</v>
      </c>
    </row>
    <row r="158" spans="1:2" x14ac:dyDescent="0.3">
      <c r="A158">
        <v>7.7</v>
      </c>
      <c r="B158" s="3" cm="1">
        <f t="array" ref="B158">_xlfn.IFS(A158&lt;=$C$2,5,AND(A158&gt;$C$2,A158&lt;=$A$2),(5-(2/($A$2-$C$2))*(A158-$C$2)),AND(A158&gt;$A$2,A158&lt;=$B$2),(3-(2/($B$2-$A$2))*(A158-$A$2)),A158&gt;$B$2,0.1^((A158-$B$2)/$B$2))</f>
        <v>0.82317648868703397</v>
      </c>
    </row>
    <row r="159" spans="1:2" x14ac:dyDescent="0.3">
      <c r="A159">
        <v>7.75</v>
      </c>
      <c r="B159" s="3" cm="1">
        <f t="array" ref="B159">_xlfn.IFS(A159&lt;=$C$2,5,AND(A159&gt;$C$2,A159&lt;=$A$2),(5-(2/($A$2-$C$2))*(A159-$C$2)),AND(A159&gt;$A$2,A159&lt;=$B$2),(3-(2/($B$2-$A$2))*(A159-$A$2)),A159&gt;$B$2,0.1^((A159-$B$2)/$B$2))</f>
        <v>0.80993600247691733</v>
      </c>
    </row>
    <row r="160" spans="1:2" x14ac:dyDescent="0.3">
      <c r="A160">
        <v>7.8</v>
      </c>
      <c r="B160" s="3" cm="1">
        <f t="array" ref="B160">_xlfn.IFS(A160&lt;=$C$2,5,AND(A160&gt;$C$2,A160&lt;=$A$2),(5-(2/($A$2-$C$2))*(A160-$C$2)),AND(A160&gt;$A$2,A160&lt;=$B$2),(3-(2/($B$2-$A$2))*(A160-$A$2)),A160&gt;$B$2,0.1^((A160-$B$2)/$B$2))</f>
        <v>0.79690848453969199</v>
      </c>
    </row>
    <row r="161" spans="1:2" x14ac:dyDescent="0.3">
      <c r="A161">
        <v>7.85</v>
      </c>
      <c r="B161" s="3" cm="1">
        <f t="array" ref="B161">_xlfn.IFS(A161&lt;=$C$2,5,AND(A161&gt;$C$2,A161&lt;=$A$2),(5-(2/($A$2-$C$2))*(A161-$C$2)),AND(A161&gt;$A$2,A161&lt;=$B$2),(3-(2/($B$2-$A$2))*(A161-$A$2)),A161&gt;$B$2,0.1^((A161-$B$2)/$B$2))</f>
        <v>0.78409050936027169</v>
      </c>
    </row>
    <row r="162" spans="1:2" x14ac:dyDescent="0.3">
      <c r="A162">
        <v>7.9</v>
      </c>
      <c r="B162" s="3" cm="1">
        <f t="array" ref="B162">_xlfn.IFS(A162&lt;=$C$2,5,AND(A162&gt;$C$2,A162&lt;=$A$2),(5-(2/($A$2-$C$2))*(A162-$C$2)),AND(A162&gt;$A$2,A162&lt;=$B$2),(3-(2/($B$2-$A$2))*(A162-$A$2)),A162&gt;$B$2,0.1^((A162-$B$2)/$B$2))</f>
        <v>0.77147870652170059</v>
      </c>
    </row>
    <row r="163" spans="1:2" x14ac:dyDescent="0.3">
      <c r="A163">
        <v>7.95</v>
      </c>
      <c r="B163" s="3" cm="1">
        <f t="array" ref="B163">_xlfn.IFS(A163&lt;=$C$2,5,AND(A163&gt;$C$2,A163&lt;=$A$2),(5-(2/($A$2-$C$2))*(A163-$C$2)),AND(A163&gt;$A$2,A163&lt;=$B$2),(3-(2/($B$2-$A$2))*(A163-$A$2)),A163&gt;$B$2,0.1^((A163-$B$2)/$B$2))</f>
        <v>0.75906975981892044</v>
      </c>
    </row>
    <row r="164" spans="1:2" x14ac:dyDescent="0.3">
      <c r="A164">
        <v>8</v>
      </c>
      <c r="B164" s="3" cm="1">
        <f t="array" ref="B164">_xlfn.IFS(A164&lt;=$C$2,5,AND(A164&gt;$C$2,A164&lt;=$A$2),(5-(2/($A$2-$C$2))*(A164-$C$2)),AND(A164&gt;$A$2,A164&lt;=$B$2),(3-(2/($B$2-$A$2))*(A164-$A$2)),A164&gt;$B$2,0.1^((A164-$B$2)/$B$2))</f>
        <v>0.74686040638679141</v>
      </c>
    </row>
    <row r="165" spans="1:2" x14ac:dyDescent="0.3">
      <c r="A165">
        <v>8.0500000000000007</v>
      </c>
      <c r="B165" s="3" cm="1">
        <f t="array" ref="B165">_xlfn.IFS(A165&lt;=$C$2,5,AND(A165&gt;$C$2,A165&lt;=$A$2),(5-(2/($A$2-$C$2))*(A165-$C$2)),AND(A165&gt;$A$2,A165&lt;=$B$2),(3-(2/($B$2-$A$2))*(A165-$A$2)),A165&gt;$B$2,0.1^((A165-$B$2)/$B$2))</f>
        <v>0.73484743584214041</v>
      </c>
    </row>
    <row r="166" spans="1:2" x14ac:dyDescent="0.3">
      <c r="A166">
        <v>8.1</v>
      </c>
      <c r="B166" s="3" cm="1">
        <f t="array" ref="B166">_xlfn.IFS(A166&lt;=$C$2,5,AND(A166&gt;$C$2,A166&lt;=$A$2),(5-(2/($A$2-$C$2))*(A166-$C$2)),AND(A166&gt;$A$2,A166&lt;=$B$2),(3-(2/($B$2-$A$2))*(A166-$A$2)),A166&gt;$B$2,0.1^((A166-$B$2)/$B$2))</f>
        <v>0.72302768943960882</v>
      </c>
    </row>
    <row r="167" spans="1:2" x14ac:dyDescent="0.3">
      <c r="A167">
        <v>8.15</v>
      </c>
      <c r="B167" s="3" cm="1">
        <f t="array" ref="B167">_xlfn.IFS(A167&lt;=$C$2,5,AND(A167&gt;$C$2,A167&lt;=$A$2),(5-(2/($A$2-$C$2))*(A167-$C$2)),AND(A167&gt;$A$2,A167&lt;=$B$2),(3-(2/($B$2-$A$2))*(A167-$A$2)),A167&gt;$B$2,0.1^((A167-$B$2)/$B$2))</f>
        <v>0.71139805924107502</v>
      </c>
    </row>
    <row r="168" spans="1:2" x14ac:dyDescent="0.3">
      <c r="A168">
        <v>8.1999999999999993</v>
      </c>
      <c r="B168" s="3" cm="1">
        <f t="array" ref="B168">_xlfn.IFS(A168&lt;=$C$2,5,AND(A168&gt;$C$2,A168&lt;=$A$2),(5-(2/($A$2-$C$2))*(A168-$C$2)),AND(A168&gt;$A$2,A168&lt;=$B$2),(3-(2/($B$2-$A$2))*(A168-$A$2)),A168&gt;$B$2,0.1^((A168-$B$2)/$B$2))</f>
        <v>0.69995548729844248</v>
      </c>
    </row>
    <row r="169" spans="1:2" x14ac:dyDescent="0.3">
      <c r="A169">
        <v>8.25</v>
      </c>
      <c r="B169" s="3" cm="1">
        <f t="array" ref="B169">_xlfn.IFS(A169&lt;=$C$2,5,AND(A169&gt;$C$2,A169&lt;=$A$2),(5-(2/($A$2-$C$2))*(A169-$C$2)),AND(A169&gt;$A$2,A169&lt;=$B$2),(3-(2/($B$2-$A$2))*(A169-$A$2)),A169&gt;$B$2,0.1^((A169-$B$2)/$B$2))</f>
        <v>0.68869696484956555</v>
      </c>
    </row>
    <row r="170" spans="1:2" x14ac:dyDescent="0.3">
      <c r="A170">
        <v>8.3000000000000007</v>
      </c>
      <c r="B170" s="3" cm="1">
        <f t="array" ref="B170">_xlfn.IFS(A170&lt;=$C$2,5,AND(A170&gt;$C$2,A170&lt;=$A$2),(5-(2/($A$2-$C$2))*(A170-$C$2)),AND(A170&gt;$A$2,A170&lt;=$B$2),(3-(2/($B$2-$A$2))*(A170-$A$2)),A170&gt;$B$2,0.1^((A170-$B$2)/$B$2))</f>
        <v>0.67761953152711452</v>
      </c>
    </row>
    <row r="171" spans="1:2" x14ac:dyDescent="0.3">
      <c r="A171">
        <v>8.35</v>
      </c>
      <c r="B171" s="3" cm="1">
        <f t="array" ref="B171">_xlfn.IFS(A171&lt;=$C$2,5,AND(A171&gt;$C$2,A171&lt;=$A$2),(5-(2/($A$2-$C$2))*(A171-$C$2)),AND(A171&gt;$A$2,A171&lt;=$B$2),(3-(2/($B$2-$A$2))*(A171-$A$2)),A171&gt;$B$2,0.1^((A171-$B$2)/$B$2))</f>
        <v>0.66672027458016192</v>
      </c>
    </row>
    <row r="172" spans="1:2" x14ac:dyDescent="0.3">
      <c r="A172">
        <v>8.4</v>
      </c>
      <c r="B172" s="3" cm="1">
        <f t="array" ref="B172">_xlfn.IFS(A172&lt;=$C$2,5,AND(A172&gt;$C$2,A172&lt;=$A$2),(5-(2/($A$2-$C$2))*(A172-$C$2)),AND(A172&gt;$A$2,A172&lt;=$B$2),(3-(2/($B$2-$A$2))*(A172-$A$2)),A172&gt;$B$2,0.1^((A172-$B$2)/$B$2))</f>
        <v>0.65599632810828912</v>
      </c>
    </row>
    <row r="173" spans="1:2" x14ac:dyDescent="0.3">
      <c r="A173">
        <v>8.4499999999999993</v>
      </c>
      <c r="B173" s="3" cm="1">
        <f t="array" ref="B173">_xlfn.IFS(A173&lt;=$C$2,5,AND(A173&gt;$C$2,A173&lt;=$A$2),(5-(2/($A$2-$C$2))*(A173-$C$2)),AND(A173&gt;$A$2,A173&lt;=$B$2),(3-(2/($B$2-$A$2))*(A173-$A$2)),A173&gt;$B$2,0.1^((A173-$B$2)/$B$2))</f>
        <v>0.64544487230801662</v>
      </c>
    </row>
    <row r="174" spans="1:2" x14ac:dyDescent="0.3">
      <c r="A174">
        <v>8.5</v>
      </c>
      <c r="B174" s="3" cm="1">
        <f t="array" ref="B174">_xlfn.IFS(A174&lt;=$C$2,5,AND(A174&gt;$C$2,A174&lt;=$A$2),(5-(2/($A$2-$C$2))*(A174-$C$2)),AND(A174&gt;$A$2,A174&lt;=$B$2),(3-(2/($B$2-$A$2))*(A174-$A$2)),A174&gt;$B$2,0.1^((A174-$B$2)/$B$2))</f>
        <v>0.63506313273134851</v>
      </c>
    </row>
    <row r="175" spans="1:2" x14ac:dyDescent="0.3">
      <c r="A175">
        <v>8.5500000000000007</v>
      </c>
      <c r="B175" s="3" cm="1">
        <f t="array" ref="B175">_xlfn.IFS(A175&lt;=$C$2,5,AND(A175&gt;$C$2,A175&lt;=$A$2),(5-(2/($A$2-$C$2))*(A175-$C$2)),AND(A175&gt;$A$2,A175&lt;=$B$2),(3-(2/($B$2-$A$2))*(A175-$A$2)),A175&gt;$B$2,0.1^((A175-$B$2)/$B$2))</f>
        <v>0.62484837955624917</v>
      </c>
    </row>
    <row r="176" spans="1:2" x14ac:dyDescent="0.3">
      <c r="A176">
        <v>8.6</v>
      </c>
      <c r="B176" s="3" cm="1">
        <f t="array" ref="B176">_xlfn.IFS(A176&lt;=$C$2,5,AND(A176&gt;$C$2,A176&lt;=$A$2),(5-(2/($A$2-$C$2))*(A176-$C$2)),AND(A176&gt;$A$2,A176&lt;=$B$2),(3-(2/($B$2-$A$2))*(A176-$A$2)),A176&gt;$B$2,0.1^((A176-$B$2)/$B$2))</f>
        <v>0.61479792686885038</v>
      </c>
    </row>
    <row r="177" spans="1:2" x14ac:dyDescent="0.3">
      <c r="A177">
        <v>8.65</v>
      </c>
      <c r="B177" s="3" cm="1">
        <f t="array" ref="B177">_xlfn.IFS(A177&lt;=$C$2,5,AND(A177&gt;$C$2,A177&lt;=$A$2),(5-(2/($A$2-$C$2))*(A177-$C$2)),AND(A177&gt;$A$2,A177&lt;=$B$2),(3-(2/($B$2-$A$2))*(A177-$A$2)),A177&gt;$B$2,0.1^((A177-$B$2)/$B$2))</f>
        <v>0.60490913195720386</v>
      </c>
    </row>
    <row r="178" spans="1:2" x14ac:dyDescent="0.3">
      <c r="A178">
        <v>8.6999999999999993</v>
      </c>
      <c r="B178" s="3" cm="1">
        <f t="array" ref="B178">_xlfn.IFS(A178&lt;=$C$2,5,AND(A178&gt;$C$2,A178&lt;=$A$2),(5-(2/($A$2-$C$2))*(A178-$C$2)),AND(A178&gt;$A$2,A178&lt;=$B$2),(3-(2/($B$2-$A$2))*(A178-$A$2)),A178&gt;$B$2,0.1^((A178-$B$2)/$B$2))</f>
        <v>0.59517939461639668</v>
      </c>
    </row>
    <row r="179" spans="1:2" x14ac:dyDescent="0.3">
      <c r="A179">
        <v>8.75</v>
      </c>
      <c r="B179" s="3" cm="1">
        <f t="array" ref="B179">_xlfn.IFS(A179&lt;=$C$2,5,AND(A179&gt;$C$2,A179&lt;=$A$2),(5-(2/($A$2-$C$2))*(A179-$C$2)),AND(A179&gt;$A$2,A179&lt;=$B$2),(3-(2/($B$2-$A$2))*(A179-$A$2)),A179&gt;$B$2,0.1^((A179-$B$2)/$B$2))</f>
        <v>0.58560615646483882</v>
      </c>
    </row>
    <row r="180" spans="1:2" x14ac:dyDescent="0.3">
      <c r="A180">
        <v>8.8000000000000007</v>
      </c>
      <c r="B180" s="3" cm="1">
        <f t="array" ref="B180">_xlfn.IFS(A180&lt;=$C$2,5,AND(A180&gt;$C$2,A180&lt;=$A$2),(5-(2/($A$2-$C$2))*(A180-$C$2)),AND(A180&gt;$A$2,A180&lt;=$B$2),(3-(2/($B$2-$A$2))*(A180-$A$2)),A180&gt;$B$2,0.1^((A180-$B$2)/$B$2))</f>
        <v>0.5761869002715535</v>
      </c>
    </row>
    <row r="181" spans="1:2" x14ac:dyDescent="0.3">
      <c r="A181">
        <v>8.85</v>
      </c>
      <c r="B181" s="3" cm="1">
        <f t="array" ref="B181">_xlfn.IFS(A181&lt;=$C$2,5,AND(A181&gt;$C$2,A181&lt;=$A$2),(5-(2/($A$2-$C$2))*(A181-$C$2)),AND(A181&gt;$A$2,A181&lt;=$B$2),(3-(2/($B$2-$A$2))*(A181-$A$2)),A181&gt;$B$2,0.1^((A181-$B$2)/$B$2))</f>
        <v>0.56691914929428322</v>
      </c>
    </row>
    <row r="182" spans="1:2" x14ac:dyDescent="0.3">
      <c r="A182">
        <v>8.9</v>
      </c>
      <c r="B182" s="3" cm="1">
        <f t="array" ref="B182">_xlfn.IFS(A182&lt;=$C$2,5,AND(A182&gt;$C$2,A182&lt;=$A$2),(5-(2/($A$2-$C$2))*(A182-$C$2)),AND(A182&gt;$A$2,A182&lt;=$B$2),(3-(2/($B$2-$A$2))*(A182-$A$2)),A182&gt;$B$2,0.1^((A182-$B$2)/$B$2))</f>
        <v>0.55780046662824323</v>
      </c>
    </row>
    <row r="183" spans="1:2" x14ac:dyDescent="0.3">
      <c r="A183">
        <v>8.9499999999999993</v>
      </c>
      <c r="B183" s="3" cm="1">
        <f t="array" ref="B183">_xlfn.IFS(A183&lt;=$C$2,5,AND(A183&gt;$C$2,A183&lt;=$A$2),(5-(2/($A$2-$C$2))*(A183-$C$2)),AND(A183&gt;$A$2,A183&lt;=$B$2),(3-(2/($B$2-$A$2))*(A183-$A$2)),A183&gt;$B$2,0.1^((A183-$B$2)/$B$2))</f>
        <v>0.5488284545653529</v>
      </c>
    </row>
    <row r="184" spans="1:2" x14ac:dyDescent="0.3">
      <c r="A184">
        <v>9</v>
      </c>
      <c r="B184" s="3" cm="1">
        <f t="array" ref="B184">_xlfn.IFS(A184&lt;=$C$2,5,AND(A184&gt;$C$2,A184&lt;=$A$2),(5-(2/($A$2-$C$2))*(A184-$C$2)),AND(A184&gt;$A$2,A184&lt;=$B$2),(3-(2/($B$2-$A$2))*(A184-$A$2)),A184&gt;$B$2,0.1^((A184-$B$2)/$B$2))</f>
        <v>0.54000075396376901</v>
      </c>
    </row>
    <row r="185" spans="1:2" x14ac:dyDescent="0.3">
      <c r="A185">
        <v>9.0500000000000007</v>
      </c>
      <c r="B185" s="3" cm="1">
        <f t="array" ref="B185">_xlfn.IFS(A185&lt;=$C$2,5,AND(A185&gt;$C$2,A185&lt;=$A$2),(5-(2/($A$2-$C$2))*(A185-$C$2)),AND(A185&gt;$A$2,A185&lt;=$B$2),(3-(2/($B$2-$A$2))*(A185-$A$2)),A185&gt;$B$2,0.1^((A185-$B$2)/$B$2))</f>
        <v>0.53131504362756388</v>
      </c>
    </row>
    <row r="186" spans="1:2" x14ac:dyDescent="0.3">
      <c r="A186">
        <v>9.1</v>
      </c>
      <c r="B186" s="3" cm="1">
        <f t="array" ref="B186">_xlfn.IFS(A186&lt;=$C$2,5,AND(A186&gt;$C$2,A186&lt;=$A$2),(5-(2/($A$2-$C$2))*(A186-$C$2)),AND(A186&gt;$A$2,A186&lt;=$B$2),(3-(2/($B$2-$A$2))*(A186-$A$2)),A186&gt;$B$2,0.1^((A186-$B$2)/$B$2))</f>
        <v>0.52276903969637945</v>
      </c>
    </row>
    <row r="187" spans="1:2" x14ac:dyDescent="0.3">
      <c r="A187">
        <v>9.15</v>
      </c>
      <c r="B187" s="3" cm="1">
        <f t="array" ref="B187">_xlfn.IFS(A187&lt;=$C$2,5,AND(A187&gt;$C$2,A187&lt;=$A$2),(5-(2/($A$2-$C$2))*(A187-$C$2)),AND(A187&gt;$A$2,A187&lt;=$B$2),(3-(2/($B$2-$A$2))*(A187-$A$2)),A187&gt;$B$2,0.1^((A187-$B$2)/$B$2))</f>
        <v>0.51436049504489634</v>
      </c>
    </row>
    <row r="188" spans="1:2" x14ac:dyDescent="0.3">
      <c r="A188">
        <v>9.1999999999999993</v>
      </c>
      <c r="B188" s="3" cm="1">
        <f t="array" ref="B188">_xlfn.IFS(A188&lt;=$C$2,5,AND(A188&gt;$C$2,A188&lt;=$A$2),(5-(2/($A$2-$C$2))*(A188-$C$2)),AND(A188&gt;$A$2,A188&lt;=$B$2),(3-(2/($B$2-$A$2))*(A188-$A$2)),A188&gt;$B$2,0.1^((A188-$B$2)/$B$2))</f>
        <v>0.50608719869196828</v>
      </c>
    </row>
    <row r="189" spans="1:2" x14ac:dyDescent="0.3">
      <c r="A189">
        <v>9.25</v>
      </c>
      <c r="B189" s="3" cm="1">
        <f t="array" ref="B189">_xlfn.IFS(A189&lt;=$C$2,5,AND(A189&gt;$C$2,A189&lt;=$A$2),(5-(2/($A$2-$C$2))*(A189-$C$2)),AND(A189&gt;$A$2,A189&lt;=$B$2),(3-(2/($B$2-$A$2))*(A189-$A$2)),A189&gt;$B$2,0.1^((A189-$B$2)/$B$2))</f>
        <v>0.49794697521925291</v>
      </c>
    </row>
    <row r="190" spans="1:2" x14ac:dyDescent="0.3">
      <c r="A190">
        <v>9.3000000000000007</v>
      </c>
      <c r="B190" s="3" cm="1">
        <f t="array" ref="B190">_xlfn.IFS(A190&lt;=$C$2,5,AND(A190&gt;$C$2,A190&lt;=$A$2),(5-(2/($A$2-$C$2))*(A190-$C$2)),AND(A190&gt;$A$2,A190&lt;=$B$2),(3-(2/($B$2-$A$2))*(A190-$A$2)),A190&gt;$B$2,0.1^((A190-$B$2)/$B$2))</f>
        <v>0.48993768419919981</v>
      </c>
    </row>
    <row r="191" spans="1:2" x14ac:dyDescent="0.3">
      <c r="A191">
        <v>9.35</v>
      </c>
      <c r="B191" s="3" cm="1">
        <f t="array" ref="B191">_xlfn.IFS(A191&lt;=$C$2,5,AND(A191&gt;$C$2,A191&lt;=$A$2),(5-(2/($A$2-$C$2))*(A191-$C$2)),AND(A191&gt;$A$2,A191&lt;=$B$2),(3-(2/($B$2-$A$2))*(A191-$A$2)),A191&gt;$B$2,0.1^((A191-$B$2)/$B$2))</f>
        <v>0.48205721963223597</v>
      </c>
    </row>
    <row r="192" spans="1:2" x14ac:dyDescent="0.3">
      <c r="A192">
        <v>9.4</v>
      </c>
      <c r="B192" s="3" cm="1">
        <f t="array" ref="B192">_xlfn.IFS(A192&lt;=$C$2,5,AND(A192&gt;$C$2,A192&lt;=$A$2),(5-(2/($A$2-$C$2))*(A192-$C$2)),AND(A192&gt;$A$2,A192&lt;=$B$2),(3-(2/($B$2-$A$2))*(A192-$A$2)),A192&gt;$B$2,0.1^((A192-$B$2)/$B$2))</f>
        <v>0.47430350939300375</v>
      </c>
    </row>
    <row r="193" spans="1:2" x14ac:dyDescent="0.3">
      <c r="A193">
        <v>9.4499999999999993</v>
      </c>
      <c r="B193" s="3" cm="1">
        <f t="array" ref="B193">_xlfn.IFS(A193&lt;=$C$2,5,AND(A193&gt;$C$2,A193&lt;=$A$2),(5-(2/($A$2-$C$2))*(A193-$C$2)),AND(A193&gt;$A$2,A193&lt;=$B$2),(3-(2/($B$2-$A$2))*(A193-$A$2)),A193&gt;$B$2,0.1^((A193-$B$2)/$B$2))</f>
        <v>0.46667451468550858</v>
      </c>
    </row>
    <row r="194" spans="1:2" x14ac:dyDescent="0.3">
      <c r="A194">
        <v>9.5</v>
      </c>
      <c r="B194" s="3" cm="1">
        <f t="array" ref="B194">_xlfn.IFS(A194&lt;=$C$2,5,AND(A194&gt;$C$2,A194&lt;=$A$2),(5-(2/($A$2-$C$2))*(A194-$C$2)),AND(A194&gt;$A$2,A194&lt;=$B$2),(3-(2/($B$2-$A$2))*(A194-$A$2)),A194&gt;$B$2,0.1^((A194-$B$2)/$B$2))</f>
        <v>0.45916822950702652</v>
      </c>
    </row>
    <row r="195" spans="1:2" x14ac:dyDescent="0.3">
      <c r="A195">
        <v>9.5500000000000007</v>
      </c>
      <c r="B195" s="3" cm="1">
        <f t="array" ref="B195">_xlfn.IFS(A195&lt;=$C$2,5,AND(A195&gt;$C$2,A195&lt;=$A$2),(5-(2/($A$2-$C$2))*(A195-$C$2)),AND(A195&gt;$A$2,A195&lt;=$B$2),(3-(2/($B$2-$A$2))*(A195-$A$2)),A195&gt;$B$2,0.1^((A195-$B$2)/$B$2))</f>
        <v>0.45178268012063849</v>
      </c>
    </row>
    <row r="196" spans="1:2" x14ac:dyDescent="0.3">
      <c r="A196">
        <v>9.6</v>
      </c>
      <c r="B196" s="3" cm="1">
        <f t="array" ref="B196">_xlfn.IFS(A196&lt;=$C$2,5,AND(A196&gt;$C$2,A196&lt;=$A$2),(5-(2/($A$2-$C$2))*(A196-$C$2)),AND(A196&gt;$A$2,A196&lt;=$B$2),(3-(2/($B$2-$A$2))*(A196-$A$2)),A196&gt;$B$2,0.1^((A196-$B$2)/$B$2))</f>
        <v>0.44451592453624644</v>
      </c>
    </row>
    <row r="197" spans="1:2" x14ac:dyDescent="0.3">
      <c r="A197">
        <v>9.65</v>
      </c>
      <c r="B197" s="3" cm="1">
        <f t="array" ref="B197">_xlfn.IFS(A197&lt;=$C$2,5,AND(A197&gt;$C$2,A197&lt;=$A$2),(5-(2/($A$2-$C$2))*(A197-$C$2)),AND(A197&gt;$A$2,A197&lt;=$B$2),(3-(2/($B$2-$A$2))*(A197-$A$2)),A197&gt;$B$2,0.1^((A197-$B$2)/$B$2))</f>
        <v>0.4373660519999365</v>
      </c>
    </row>
    <row r="198" spans="1:2" x14ac:dyDescent="0.3">
      <c r="A198">
        <v>9.6999999999999993</v>
      </c>
      <c r="B198" s="3" cm="1">
        <f t="array" ref="B198">_xlfn.IFS(A198&lt;=$C$2,5,AND(A198&gt;$C$2,A198&lt;=$A$2),(5-(2/($A$2-$C$2))*(A198-$C$2)),AND(A198&gt;$A$2,A198&lt;=$B$2),(3-(2/($B$2-$A$2))*(A198-$A$2)),A198&gt;$B$2,0.1^((A198-$B$2)/$B$2))</f>
        <v>0.43033118249155838</v>
      </c>
    </row>
    <row r="199" spans="1:2" x14ac:dyDescent="0.3">
      <c r="A199">
        <v>9.75</v>
      </c>
      <c r="B199" s="3" cm="1">
        <f t="array" ref="B199">_xlfn.IFS(A199&lt;=$C$2,5,AND(A199&gt;$C$2,A199&lt;=$A$2),(5-(2/($A$2-$C$2))*(A199-$C$2)),AND(A199&gt;$A$2,A199&lt;=$B$2),(3-(2/($B$2-$A$2))*(A199-$A$2)),A199&gt;$B$2,0.1^((A199-$B$2)/$B$2))</f>
        <v>0.4234094662303825</v>
      </c>
    </row>
    <row r="200" spans="1:2" x14ac:dyDescent="0.3">
      <c r="A200">
        <v>9.8000000000000007</v>
      </c>
      <c r="B200" s="3" cm="1">
        <f t="array" ref="B200">_xlfn.IFS(A200&lt;=$C$2,5,AND(A200&gt;$C$2,A200&lt;=$A$2),(5-(2/($A$2-$C$2))*(A200-$C$2)),AND(A200&gt;$A$2,A200&lt;=$B$2),(3-(2/($B$2-$A$2))*(A200-$A$2)),A200&gt;$B$2,0.1^((A200-$B$2)/$B$2))</f>
        <v>0.41659908318871164</v>
      </c>
    </row>
    <row r="201" spans="1:2" x14ac:dyDescent="0.3">
      <c r="A201">
        <v>9.85</v>
      </c>
      <c r="B201" s="3" cm="1">
        <f t="array" ref="B201">_xlfn.IFS(A201&lt;=$C$2,5,AND(A201&gt;$C$2,A201&lt;=$A$2),(5-(2/($A$2-$C$2))*(A201-$C$2)),AND(A201&gt;$A$2,A201&lt;=$B$2),(3-(2/($B$2-$A$2))*(A201-$A$2)),A201&gt;$B$2,0.1^((A201-$B$2)/$B$2))</f>
        <v>0.4098982426133142</v>
      </c>
    </row>
    <row r="202" spans="1:2" x14ac:dyDescent="0.3">
      <c r="A202">
        <v>9.9</v>
      </c>
      <c r="B202" s="3" cm="1">
        <f t="array" ref="B202">_xlfn.IFS(A202&lt;=$C$2,5,AND(A202&gt;$C$2,A202&lt;=$A$2),(5-(2/($A$2-$C$2))*(A202-$C$2)),AND(A202&gt;$A$2,A202&lt;=$B$2),(3-(2/($B$2-$A$2))*(A202-$A$2)),A202&gt;$B$2,0.1^((A202-$B$2)/$B$2))</f>
        <v>0.40330518255455433</v>
      </c>
    </row>
    <row r="203" spans="1:2" x14ac:dyDescent="0.3">
      <c r="A203">
        <v>9.9499999999999993</v>
      </c>
      <c r="B203" s="3" cm="1">
        <f t="array" ref="B203">_xlfn.IFS(A203&lt;=$C$2,5,AND(A203&gt;$C$2,A203&lt;=$A$2),(5-(2/($A$2-$C$2))*(A203-$C$2)),AND(A203&gt;$A$2,A203&lt;=$B$2),(3-(2/($B$2-$A$2))*(A203-$A$2)),A203&gt;$B$2,0.1^((A203-$B$2)/$B$2))</f>
        <v>0.3968181694030985</v>
      </c>
    </row>
    <row r="204" spans="1:2" x14ac:dyDescent="0.3">
      <c r="A204">
        <v>10</v>
      </c>
      <c r="B204" s="3" cm="1">
        <f t="array" ref="B204">_xlfn.IFS(A204&lt;=$C$2,5,AND(A204&gt;$C$2,A204&lt;=$A$2),(5-(2/($A$2-$C$2))*(A204-$C$2)),AND(A204&gt;$A$2,A204&lt;=$B$2),(3-(2/($B$2-$A$2))*(A204-$A$2)),A204&gt;$B$2,0.1^((A204-$B$2)/$B$2))</f>
        <v>0.39043549743407063</v>
      </c>
    </row>
    <row r="205" spans="1:2" x14ac:dyDescent="0.3">
      <c r="A205">
        <v>10.050000000000001</v>
      </c>
      <c r="B205" s="3" cm="1">
        <f t="array" ref="B205">_xlfn.IFS(A205&lt;=$C$2,5,AND(A205&gt;$C$2,A205&lt;=$A$2),(5-(2/($A$2-$C$2))*(A205-$C$2)),AND(A205&gt;$A$2,A205&lt;=$B$2),(3-(2/($B$2-$A$2))*(A205-$A$2)),A205&gt;$B$2,0.1^((A205-$B$2)/$B$2))</f>
        <v>0.38415548835854252</v>
      </c>
    </row>
    <row r="206" spans="1:2" x14ac:dyDescent="0.3">
      <c r="A206">
        <v>10.1</v>
      </c>
      <c r="B206" s="3" cm="1">
        <f t="array" ref="B206">_xlfn.IFS(A206&lt;=$C$2,5,AND(A206&gt;$C$2,A206&lt;=$A$2),(5-(2/($A$2-$C$2))*(A206-$C$2)),AND(A206&gt;$A$2,A206&lt;=$B$2),(3-(2/($B$2-$A$2))*(A206-$A$2)),A206&gt;$B$2,0.1^((A206-$B$2)/$B$2))</f>
        <v>0.37797649088223628</v>
      </c>
    </row>
    <row r="207" spans="1:2" x14ac:dyDescent="0.3">
      <c r="A207">
        <v>10.15</v>
      </c>
      <c r="B207" s="3" cm="1">
        <f t="array" ref="B207">_xlfn.IFS(A207&lt;=$C$2,5,AND(A207&gt;$C$2,A207&lt;=$A$2),(5-(2/($A$2-$C$2))*(A207-$C$2)),AND(A207&gt;$A$2,A207&lt;=$B$2),(3-(2/($B$2-$A$2))*(A207-$A$2)),A207&gt;$B$2,0.1^((A207-$B$2)/$B$2))</f>
        <v>0.37189688027132478</v>
      </c>
    </row>
    <row r="208" spans="1:2" x14ac:dyDescent="0.3">
      <c r="A208">
        <v>10.199999999999999</v>
      </c>
      <c r="B208" s="3" cm="1">
        <f t="array" ref="B208">_xlfn.IFS(A208&lt;=$C$2,5,AND(A208&gt;$C$2,A208&lt;=$A$2),(5-(2/($A$2-$C$2))*(A208-$C$2)),AND(A208&gt;$A$2,A208&lt;=$B$2),(3-(2/($B$2-$A$2))*(A208-$A$2)),A208&gt;$B$2,0.1^((A208-$B$2)/$B$2))</f>
        <v>0.365915057925218</v>
      </c>
    </row>
    <row r="209" spans="1:2" x14ac:dyDescent="0.3">
      <c r="A209">
        <v>10.25</v>
      </c>
      <c r="B209" s="3" cm="1">
        <f t="array" ref="B209">_xlfn.IFS(A209&lt;=$C$2,5,AND(A209&gt;$C$2,A209&lt;=$A$2),(5-(2/($A$2-$C$2))*(A209-$C$2)),AND(A209&gt;$A$2,A209&lt;=$B$2),(3-(2/($B$2-$A$2))*(A209-$A$2)),A209&gt;$B$2,0.1^((A209-$B$2)/$B$2))</f>
        <v>0.36002945095621858</v>
      </c>
    </row>
    <row r="210" spans="1:2" x14ac:dyDescent="0.3">
      <c r="A210">
        <v>10.3</v>
      </c>
      <c r="B210" s="3" cm="1">
        <f t="array" ref="B210">_xlfn.IFS(A210&lt;=$C$2,5,AND(A210&gt;$C$2,A210&lt;=$A$2),(5-(2/($A$2-$C$2))*(A210-$C$2)),AND(A210&gt;$A$2,A210&lt;=$B$2),(3-(2/($B$2-$A$2))*(A210-$A$2)),A210&gt;$B$2,0.1^((A210-$B$2)/$B$2))</f>
        <v>0.35423851177594012</v>
      </c>
    </row>
    <row r="211" spans="1:2" x14ac:dyDescent="0.3">
      <c r="A211">
        <v>10.35</v>
      </c>
      <c r="B211" s="3" cm="1">
        <f t="array" ref="B211">_xlfn.IFS(A211&lt;=$C$2,5,AND(A211&gt;$C$2,A211&lt;=$A$2),(5-(2/($A$2-$C$2))*(A211-$C$2)),AND(A211&gt;$A$2,A211&lt;=$B$2),(3-(2/($B$2-$A$2))*(A211-$A$2)),A211&gt;$B$2,0.1^((A211-$B$2)/$B$2))</f>
        <v>0.34854071768837763</v>
      </c>
    </row>
    <row r="212" spans="1:2" x14ac:dyDescent="0.3">
      <c r="A212">
        <v>10.4</v>
      </c>
      <c r="B212" s="3" cm="1">
        <f t="array" ref="B212">_xlfn.IFS(A212&lt;=$C$2,5,AND(A212&gt;$C$2,A212&lt;=$A$2),(5-(2/($A$2-$C$2))*(A212-$C$2)),AND(A212&gt;$A$2,A212&lt;=$B$2),(3-(2/($B$2-$A$2))*(A212-$A$2)),A212&gt;$B$2,0.1^((A212-$B$2)/$B$2))</f>
        <v>0.34293457048952131</v>
      </c>
    </row>
    <row r="213" spans="1:2" x14ac:dyDescent="0.3">
      <c r="A213">
        <v>10.45</v>
      </c>
      <c r="B213" s="3" cm="1">
        <f t="array" ref="B213">_xlfn.IFS(A213&lt;=$C$2,5,AND(A213&gt;$C$2,A213&lt;=$A$2),(5-(2/($A$2-$C$2))*(A213-$C$2)),AND(A213&gt;$A$2,A213&lt;=$B$2),(3-(2/($B$2-$A$2))*(A213-$A$2)),A213&gt;$B$2,0.1^((A213-$B$2)/$B$2))</f>
        <v>0.33741859607341407</v>
      </c>
    </row>
    <row r="214" spans="1:2" x14ac:dyDescent="0.3">
      <c r="A214">
        <v>10.5</v>
      </c>
      <c r="B214" s="3" cm="1">
        <f t="array" ref="B214">_xlfn.IFS(A214&lt;=$C$2,5,AND(A214&gt;$C$2,A214&lt;=$A$2),(5-(2/($A$2-$C$2))*(A214-$C$2)),AND(A214&gt;$A$2,A214&lt;=$B$2),(3-(2/($B$2-$A$2))*(A214-$A$2)),A214&gt;$B$2,0.1^((A214-$B$2)/$B$2))</f>
        <v>0.33199134404454134</v>
      </c>
    </row>
    <row r="215" spans="1:2" x14ac:dyDescent="0.3">
      <c r="A215">
        <v>10.55</v>
      </c>
      <c r="B215" s="3" cm="1">
        <f t="array" ref="B215">_xlfn.IFS(A215&lt;=$C$2,5,AND(A215&gt;$C$2,A215&lt;=$A$2),(5-(2/($A$2-$C$2))*(A215-$C$2)),AND(A215&gt;$A$2,A215&lt;=$B$2),(3-(2/($B$2-$A$2))*(A215-$A$2)),A215&gt;$B$2,0.1^((A215-$B$2)/$B$2))</f>
        <v>0.3266513873364591</v>
      </c>
    </row>
    <row r="216" spans="1:2" x14ac:dyDescent="0.3">
      <c r="A216">
        <v>10.6</v>
      </c>
      <c r="B216" s="3" cm="1">
        <f t="array" ref="B216">_xlfn.IFS(A216&lt;=$C$2,5,AND(A216&gt;$C$2,A216&lt;=$A$2),(5-(2/($A$2-$C$2))*(A216-$C$2)),AND(A216&gt;$A$2,A216&lt;=$B$2),(3-(2/($B$2-$A$2))*(A216-$A$2)),A216&gt;$B$2,0.1^((A216-$B$2)/$B$2))</f>
        <v>0.32139732183655384</v>
      </c>
    </row>
    <row r="217" spans="1:2" x14ac:dyDescent="0.3">
      <c r="A217">
        <v>10.65</v>
      </c>
      <c r="B217" s="3" cm="1">
        <f t="array" ref="B217">_xlfn.IFS(A217&lt;=$C$2,5,AND(A217&gt;$C$2,A217&lt;=$A$2),(5-(2/($A$2-$C$2))*(A217-$C$2)),AND(A217&gt;$A$2,A217&lt;=$B$2),(3-(2/($B$2-$A$2))*(A217-$A$2)),A217&gt;$B$2,0.1^((A217-$B$2)/$B$2))</f>
        <v>0.31622776601683789</v>
      </c>
    </row>
    <row r="218" spans="1:2" x14ac:dyDescent="0.3">
      <c r="A218">
        <v>10.7</v>
      </c>
      <c r="B218" s="3" cm="1">
        <f t="array" ref="B218">_xlfn.IFS(A218&lt;=$C$2,5,AND(A218&gt;$C$2,A218&lt;=$A$2),(5-(2/($A$2-$C$2))*(A218-$C$2)),AND(A218&gt;$A$2,A218&lt;=$B$2),(3-(2/($B$2-$A$2))*(A218-$A$2)),A218&gt;$B$2,0.1^((A218-$B$2)/$B$2))</f>
        <v>0.31114136057068603</v>
      </c>
    </row>
    <row r="219" spans="1:2" x14ac:dyDescent="0.3">
      <c r="A219">
        <v>10.75</v>
      </c>
      <c r="B219" s="3" cm="1">
        <f t="array" ref="B219">_xlfn.IFS(A219&lt;=$C$2,5,AND(A219&gt;$C$2,A219&lt;=$A$2),(5-(2/($A$2-$C$2))*(A219-$C$2)),AND(A219&gt;$A$2,A219&lt;=$B$2),(3-(2/($B$2-$A$2))*(A219-$A$2)),A219&gt;$B$2,0.1^((A219-$B$2)/$B$2))</f>
        <v>0.30613676805541151</v>
      </c>
    </row>
    <row r="220" spans="1:2" x14ac:dyDescent="0.3">
      <c r="A220">
        <v>10.8</v>
      </c>
      <c r="B220" s="3" cm="1">
        <f t="array" ref="B220">_xlfn.IFS(A220&lt;=$C$2,5,AND(A220&gt;$C$2,A220&lt;=$A$2),(5-(2/($A$2-$C$2))*(A220-$C$2)),AND(A220&gt;$A$2,A220&lt;=$B$2),(3-(2/($B$2-$A$2))*(A220-$A$2)),A220&gt;$B$2,0.1^((A220-$B$2)/$B$2))</f>
        <v>0.30121267254059353</v>
      </c>
    </row>
    <row r="221" spans="1:2" x14ac:dyDescent="0.3">
      <c r="A221">
        <v>10.85</v>
      </c>
      <c r="B221" s="3" cm="1">
        <f t="array" ref="B221">_xlfn.IFS(A221&lt;=$C$2,5,AND(A221&gt;$C$2,A221&lt;=$A$2),(5-(2/($A$2-$C$2))*(A221-$C$2)),AND(A221&gt;$A$2,A221&lt;=$B$2),(3-(2/($B$2-$A$2))*(A221-$A$2)),A221&gt;$B$2,0.1^((A221-$B$2)/$B$2))</f>
        <v>0.2963677792620607</v>
      </c>
    </row>
    <row r="222" spans="1:2" x14ac:dyDescent="0.3">
      <c r="A222">
        <v>10.9</v>
      </c>
      <c r="B222" s="3" cm="1">
        <f t="array" ref="B222">_xlfn.IFS(A222&lt;=$C$2,5,AND(A222&gt;$C$2,A222&lt;=$A$2),(5-(2/($A$2-$C$2))*(A222-$C$2)),AND(A222&gt;$A$2,A222&lt;=$B$2),(3-(2/($B$2-$A$2))*(A222-$A$2)),A222&gt;$B$2,0.1^((A222-$B$2)/$B$2))</f>
        <v>0.29160081428143902</v>
      </c>
    </row>
    <row r="223" spans="1:2" x14ac:dyDescent="0.3">
      <c r="A223">
        <v>10.95</v>
      </c>
      <c r="B223" s="3" cm="1">
        <f t="array" ref="B223">_xlfn.IFS(A223&lt;=$C$2,5,AND(A223&gt;$C$2,A223&lt;=$A$2),(5-(2/($A$2-$C$2))*(A223-$C$2)),AND(A223&gt;$A$2,A223&lt;=$B$2),(3-(2/($B$2-$A$2))*(A223-$A$2)),A223&gt;$B$2,0.1^((A223-$B$2)/$B$2))</f>
        <v>0.28691052415117757</v>
      </c>
    </row>
    <row r="224" spans="1:2" x14ac:dyDescent="0.3">
      <c r="A224">
        <v>11</v>
      </c>
      <c r="B224" s="3" cm="1">
        <f t="array" ref="B224">_xlfn.IFS(A224&lt;=$C$2,5,AND(A224&gt;$C$2,A224&lt;=$A$2),(5-(2/($A$2-$C$2))*(A224-$C$2)),AND(A224&gt;$A$2,A224&lt;=$B$2),(3-(2/($B$2-$A$2))*(A224-$A$2)),A224&gt;$B$2,0.1^((A224-$B$2)/$B$2))</f>
        <v>0.28229567558496044</v>
      </c>
    </row>
    <row r="225" spans="1:2" x14ac:dyDescent="0.3">
      <c r="A225">
        <v>11.05</v>
      </c>
      <c r="B225" s="3" cm="1">
        <f t="array" ref="B225">_xlfn.IFS(A225&lt;=$C$2,5,AND(A225&gt;$C$2,A225&lt;=$A$2),(5-(2/($A$2-$C$2))*(A225-$C$2)),AND(A225&gt;$A$2,A225&lt;=$B$2),(3-(2/($B$2-$A$2))*(A225-$A$2)),A225&gt;$B$2,0.1^((A225-$B$2)/$B$2))</f>
        <v>0.27775505513342158</v>
      </c>
    </row>
    <row r="226" spans="1:2" x14ac:dyDescent="0.3">
      <c r="A226">
        <v>11.1</v>
      </c>
      <c r="B226" s="3" cm="1">
        <f t="array" ref="B226">_xlfn.IFS(A226&lt;=$C$2,5,AND(A226&gt;$C$2,A226&lt;=$A$2),(5-(2/($A$2-$C$2))*(A226-$C$2)),AND(A226&gt;$A$2,A226&lt;=$B$2),(3-(2/($B$2-$A$2))*(A226-$A$2)),A226&gt;$B$2,0.1^((A226-$B$2)/$B$2))</f>
        <v>0.27328746886507471</v>
      </c>
    </row>
    <row r="227" spans="1:2" x14ac:dyDescent="0.3">
      <c r="A227">
        <v>11.15</v>
      </c>
      <c r="B227" s="3" cm="1">
        <f t="array" ref="B227">_xlfn.IFS(A227&lt;=$C$2,5,AND(A227&gt;$C$2,A227&lt;=$A$2),(5-(2/($A$2-$C$2))*(A227-$C$2)),AND(A227&gt;$A$2,A227&lt;=$B$2),(3-(2/($B$2-$A$2))*(A227-$A$2)),A227&gt;$B$2,0.1^((A227-$B$2)/$B$2))</f>
        <v>0.26889174205237482</v>
      </c>
    </row>
    <row r="228" spans="1:2" x14ac:dyDescent="0.3">
      <c r="A228">
        <v>11.2</v>
      </c>
      <c r="B228" s="3" cm="1">
        <f t="array" ref="B228">_xlfn.IFS(A228&lt;=$C$2,5,AND(A228&gt;$C$2,A228&lt;=$A$2),(5-(2/($A$2-$C$2))*(A228-$C$2)),AND(A228&gt;$A$2,A228&lt;=$B$2),(3-(2/($B$2-$A$2))*(A228-$A$2)),A228&gt;$B$2,0.1^((A228-$B$2)/$B$2))</f>
        <v>0.26456671886283095</v>
      </c>
    </row>
    <row r="229" spans="1:2" x14ac:dyDescent="0.3">
      <c r="A229">
        <v>11.25</v>
      </c>
      <c r="B229" s="3" cm="1">
        <f t="array" ref="B229">_xlfn.IFS(A229&lt;=$C$2,5,AND(A229&gt;$C$2,A229&lt;=$A$2),(5-(2/($A$2-$C$2))*(A229-$C$2)),AND(A229&gt;$A$2,A229&lt;=$B$2),(3-(2/($B$2-$A$2))*(A229-$A$2)),A229&gt;$B$2,0.1^((A229-$B$2)/$B$2))</f>
        <v>0.26031126205508565</v>
      </c>
    </row>
    <row r="230" spans="1:2" x14ac:dyDescent="0.3">
      <c r="A230">
        <v>11.3</v>
      </c>
      <c r="B230" s="3" cm="1">
        <f t="array" ref="B230">_xlfn.IFS(A230&lt;=$C$2,5,AND(A230&gt;$C$2,A230&lt;=$A$2),(5-(2/($A$2-$C$2))*(A230-$C$2)),AND(A230&gt;$A$2,A230&lt;=$B$2),(3-(2/($B$2-$A$2))*(A230-$A$2)),A230&gt;$B$2,0.1^((A230-$B$2)/$B$2))</f>
        <v>0.25612425267988365</v>
      </c>
    </row>
    <row r="231" spans="1:2" x14ac:dyDescent="0.3">
      <c r="A231">
        <v>11.35</v>
      </c>
      <c r="B231" s="3" cm="1">
        <f t="array" ref="B231">_xlfn.IFS(A231&lt;=$C$2,5,AND(A231&gt;$C$2,A231&lt;=$A$2),(5-(2/($A$2-$C$2))*(A231-$C$2)),AND(A231&gt;$A$2,A231&lt;=$B$2),(3-(2/($B$2-$A$2))*(A231-$A$2)),A231&gt;$B$2,0.1^((A231-$B$2)/$B$2))</f>
        <v>0.25200458978585072</v>
      </c>
    </row>
    <row r="232" spans="1:2" x14ac:dyDescent="0.3">
      <c r="A232">
        <v>11.4</v>
      </c>
      <c r="B232" s="3" cm="1">
        <f t="array" ref="B232">_xlfn.IFS(A232&lt;=$C$2,5,AND(A232&gt;$C$2,A232&lt;=$A$2),(5-(2/($A$2-$C$2))*(A232-$C$2)),AND(A232&gt;$A$2,A232&lt;=$B$2),(3-(2/($B$2-$A$2))*(A232-$A$2)),A232&gt;$B$2,0.1^((A232-$B$2)/$B$2))</f>
        <v>0.24795119013000327</v>
      </c>
    </row>
    <row r="233" spans="1:2" x14ac:dyDescent="0.3">
      <c r="A233">
        <v>11.45</v>
      </c>
      <c r="B233" s="3" cm="1">
        <f t="array" ref="B233">_xlfn.IFS(A233&lt;=$C$2,5,AND(A233&gt;$C$2,A233&lt;=$A$2),(5-(2/($A$2-$C$2))*(A233-$C$2)),AND(A233&gt;$A$2,A233&lt;=$B$2),(3-(2/($B$2-$A$2))*(A233-$A$2)),A233&gt;$B$2,0.1^((A233-$B$2)/$B$2))</f>
        <v>0.2439629878929172</v>
      </c>
    </row>
    <row r="234" spans="1:2" x14ac:dyDescent="0.3">
      <c r="A234">
        <v>11.5</v>
      </c>
      <c r="B234" s="3" cm="1">
        <f t="array" ref="B234">_xlfn.IFS(A234&lt;=$C$2,5,AND(A234&gt;$C$2,A234&lt;=$A$2),(5-(2/($A$2-$C$2))*(A234-$C$2)),AND(A234&gt;$A$2,A234&lt;=$B$2),(3-(2/($B$2-$A$2))*(A234-$A$2)),A234&gt;$B$2,0.1^((A234-$B$2)/$B$2))</f>
        <v>0.24003893439847498</v>
      </c>
    </row>
    <row r="235" spans="1:2" x14ac:dyDescent="0.3">
      <c r="A235">
        <v>11.55</v>
      </c>
      <c r="B235" s="3" cm="1">
        <f t="array" ref="B235">_xlfn.IFS(A235&lt;=$C$2,5,AND(A235&gt;$C$2,A235&lt;=$A$2),(5-(2/($A$2-$C$2))*(A235-$C$2)),AND(A235&gt;$A$2,A235&lt;=$B$2),(3-(2/($B$2-$A$2))*(A235-$A$2)),A235&gt;$B$2,0.1^((A235-$B$2)/$B$2))</f>
        <v>0.23617799783812274</v>
      </c>
    </row>
    <row r="236" spans="1:2" x14ac:dyDescent="0.3">
      <c r="A236">
        <v>11.6</v>
      </c>
      <c r="B236" s="3" cm="1">
        <f t="array" ref="B236">_xlfn.IFS(A236&lt;=$C$2,5,AND(A236&gt;$C$2,A236&lt;=$A$2),(5-(2/($A$2-$C$2))*(A236-$C$2)),AND(A236&gt;$A$2,A236&lt;=$B$2),(3-(2/($B$2-$A$2))*(A236-$A$2)),A236&gt;$B$2,0.1^((A236-$B$2)/$B$2))</f>
        <v>0.23237916299956179</v>
      </c>
    </row>
    <row r="237" spans="1:2" x14ac:dyDescent="0.3">
      <c r="A237">
        <v>11.65</v>
      </c>
      <c r="B237" s="3" cm="1">
        <f t="array" ref="B237">_xlfn.IFS(A237&lt;=$C$2,5,AND(A237&gt;$C$2,A237&lt;=$A$2),(5-(2/($A$2-$C$2))*(A237-$C$2)),AND(A237&gt;$A$2,A237&lt;=$B$2),(3-(2/($B$2-$A$2))*(A237-$A$2)),A237&gt;$B$2,0.1^((A237-$B$2)/$B$2))</f>
        <v>0.22864143099980355</v>
      </c>
    </row>
    <row r="238" spans="1:2" x14ac:dyDescent="0.3">
      <c r="A238">
        <v>11.7</v>
      </c>
      <c r="B238" s="3" cm="1">
        <f t="array" ref="B238">_xlfn.IFS(A238&lt;=$C$2,5,AND(A238&gt;$C$2,A238&lt;=$A$2),(5-(2/($A$2-$C$2))*(A238-$C$2)),AND(A238&gt;$A$2,A238&lt;=$B$2),(3-(2/($B$2-$A$2))*(A238-$A$2)),A238&gt;$B$2,0.1^((A238-$B$2)/$B$2))</f>
        <v>0.22496381902251933</v>
      </c>
    </row>
    <row r="239" spans="1:2" x14ac:dyDescent="0.3">
      <c r="A239">
        <v>11.75</v>
      </c>
      <c r="B239" s="3" cm="1">
        <f t="array" ref="B239">_xlfn.IFS(A239&lt;=$C$2,5,AND(A239&gt;$C$2,A239&lt;=$A$2),(5-(2/($A$2-$C$2))*(A239-$C$2)),AND(A239&gt;$A$2,A239&lt;=$B$2),(3-(2/($B$2-$A$2))*(A239-$A$2)),A239&gt;$B$2,0.1^((A239-$B$2)/$B$2))</f>
        <v>0.22134536005961361</v>
      </c>
    </row>
    <row r="240" spans="1:2" x14ac:dyDescent="0.3">
      <c r="A240">
        <v>11.8</v>
      </c>
      <c r="B240" s="3" cm="1">
        <f t="array" ref="B240">_xlfn.IFS(A240&lt;=$C$2,5,AND(A240&gt;$C$2,A240&lt;=$A$2),(5-(2/($A$2-$C$2))*(A240-$C$2)),AND(A240&gt;$A$2,A240&lt;=$B$2),(3-(2/($B$2-$A$2))*(A240-$A$2)),A240&gt;$B$2,0.1^((A240-$B$2)/$B$2))</f>
        <v>0.21778510265695483</v>
      </c>
    </row>
    <row r="241" spans="1:2" x14ac:dyDescent="0.3">
      <c r="A241">
        <v>11.85</v>
      </c>
      <c r="B241" s="3" cm="1">
        <f t="array" ref="B241">_xlfn.IFS(A241&lt;=$C$2,5,AND(A241&gt;$C$2,A241&lt;=$A$2),(5-(2/($A$2-$C$2))*(A241-$C$2)),AND(A241&gt;$A$2,A241&lt;=$B$2),(3-(2/($B$2-$A$2))*(A241-$A$2)),A241&gt;$B$2,0.1^((A241-$B$2)/$B$2))</f>
        <v>0.21428211066419581</v>
      </c>
    </row>
    <row r="242" spans="1:2" x14ac:dyDescent="0.3">
      <c r="A242">
        <v>11.9</v>
      </c>
      <c r="B242" s="3" cm="1">
        <f t="array" ref="B242">_xlfn.IFS(A242&lt;=$C$2,5,AND(A242&gt;$C$2,A242&lt;=$A$2),(5-(2/($A$2-$C$2))*(A242-$C$2)),AND(A242&gt;$A$2,A242&lt;=$B$2),(3-(2/($B$2-$A$2))*(A242-$A$2)),A242&gt;$B$2,0.1^((A242-$B$2)/$B$2))</f>
        <v>0.21083546298861736</v>
      </c>
    </row>
    <row r="243" spans="1:2" x14ac:dyDescent="0.3">
      <c r="A243">
        <v>11.95</v>
      </c>
      <c r="B243" s="3" cm="1">
        <f t="array" ref="B243">_xlfn.IFS(A243&lt;=$C$2,5,AND(A243&gt;$C$2,A243&lt;=$A$2),(5-(2/($A$2-$C$2))*(A243-$C$2)),AND(A243&gt;$A$2,A243&lt;=$B$2),(3-(2/($B$2-$A$2))*(A243-$A$2)),A243&gt;$B$2,0.1^((A243-$B$2)/$B$2))</f>
        <v>0.20744425335293298</v>
      </c>
    </row>
    <row r="244" spans="1:2" x14ac:dyDescent="0.3">
      <c r="A244">
        <v>12</v>
      </c>
      <c r="B244" s="3" cm="1">
        <f t="array" ref="B244">_xlfn.IFS(A244&lt;=$C$2,5,AND(A244&gt;$C$2,A244&lt;=$A$2),(5-(2/($A$2-$C$2))*(A244-$C$2)),AND(A244&gt;$A$2,A244&lt;=$B$2),(3-(2/($B$2-$A$2))*(A244-$A$2)),A244&gt;$B$2,0.1^((A244-$B$2)/$B$2))</f>
        <v>0.20410759005698731</v>
      </c>
    </row>
    <row r="245" spans="1:2" x14ac:dyDescent="0.3">
      <c r="A245">
        <v>12.05</v>
      </c>
      <c r="B245" s="3" cm="1">
        <f t="array" ref="B245">_xlfn.IFS(A245&lt;=$C$2,5,AND(A245&gt;$C$2,A245&lt;=$A$2),(5-(2/($A$2-$C$2))*(A245-$C$2)),AND(A245&gt;$A$2,A245&lt;=$B$2),(3-(2/($B$2-$A$2))*(A245-$A$2)),A245&gt;$B$2,0.1^((A245-$B$2)/$B$2))</f>
        <v>0.20082459574328893</v>
      </c>
    </row>
    <row r="246" spans="1:2" x14ac:dyDescent="0.3">
      <c r="A246">
        <v>12.1</v>
      </c>
      <c r="B246" s="3" cm="1">
        <f t="array" ref="B246">_xlfn.IFS(A246&lt;=$C$2,5,AND(A246&gt;$C$2,A246&lt;=$A$2),(5-(2/($A$2-$C$2))*(A246-$C$2)),AND(A246&gt;$A$2,A246&lt;=$B$2),(3-(2/($B$2-$A$2))*(A246-$A$2)),A246&gt;$B$2,0.1^((A246-$B$2)/$B$2))</f>
        <v>0.19759440716631393</v>
      </c>
    </row>
    <row r="247" spans="1:2" x14ac:dyDescent="0.3">
      <c r="A247">
        <v>12.15</v>
      </c>
      <c r="B247" s="3" cm="1">
        <f t="array" ref="B247">_xlfn.IFS(A247&lt;=$C$2,5,AND(A247&gt;$C$2,A247&lt;=$A$2),(5-(2/($A$2-$C$2))*(A247-$C$2)),AND(A247&gt;$A$2,A247&lt;=$B$2),(3-(2/($B$2-$A$2))*(A247-$A$2)),A247&gt;$B$2,0.1^((A247-$B$2)/$B$2))</f>
        <v>0.19441617496551983</v>
      </c>
    </row>
    <row r="248" spans="1:2" x14ac:dyDescent="0.3">
      <c r="A248">
        <v>12.2</v>
      </c>
      <c r="B248" s="3" cm="1">
        <f t="array" ref="B248">_xlfn.IFS(A248&lt;=$C$2,5,AND(A248&gt;$C$2,A248&lt;=$A$2),(5-(2/($A$2-$C$2))*(A248-$C$2)),AND(A248&gt;$A$2,A248&lt;=$B$2),(3-(2/($B$2-$A$2))*(A248-$A$2)),A248&gt;$B$2,0.1^((A248-$B$2)/$B$2))</f>
        <v>0.19128906344201127</v>
      </c>
    </row>
    <row r="249" spans="1:2" x14ac:dyDescent="0.3">
      <c r="A249">
        <v>12.25</v>
      </c>
      <c r="B249" s="3" cm="1">
        <f t="array" ref="B249">_xlfn.IFS(A249&lt;=$C$2,5,AND(A249&gt;$C$2,A249&lt;=$A$2),(5-(2/($A$2-$C$2))*(A249-$C$2)),AND(A249&gt;$A$2,A249&lt;=$B$2),(3-(2/($B$2-$A$2))*(A249-$A$2)),A249&gt;$B$2,0.1^((A249-$B$2)/$B$2))</f>
        <v>0.18821225033879713</v>
      </c>
    </row>
    <row r="250" spans="1:2" x14ac:dyDescent="0.3">
      <c r="A250">
        <v>12.3</v>
      </c>
      <c r="B250" s="3" cm="1">
        <f t="array" ref="B250">_xlfn.IFS(A250&lt;=$C$2,5,AND(A250&gt;$C$2,A250&lt;=$A$2),(5-(2/($A$2-$C$2))*(A250-$C$2)),AND(A250&gt;$A$2,A250&lt;=$B$2),(3-(2/($B$2-$A$2))*(A250-$A$2)),A250&gt;$B$2,0.1^((A250-$B$2)/$B$2))</f>
        <v>0.18518492662458283</v>
      </c>
    </row>
    <row r="251" spans="1:2" x14ac:dyDescent="0.3">
      <c r="A251">
        <v>12.35</v>
      </c>
      <c r="B251" s="3" cm="1">
        <f t="array" ref="B251">_xlfn.IFS(A251&lt;=$C$2,5,AND(A251&gt;$C$2,A251&lt;=$A$2),(5-(2/($A$2-$C$2))*(A251-$C$2)),AND(A251&gt;$A$2,A251&lt;=$B$2),(3-(2/($B$2-$A$2))*(A251-$A$2)),A251&gt;$B$2,0.1^((A251-$B$2)/$B$2))</f>
        <v>0.18220629628104001</v>
      </c>
    </row>
    <row r="252" spans="1:2" x14ac:dyDescent="0.3">
      <c r="A252">
        <v>12.4</v>
      </c>
      <c r="B252" s="3" cm="1">
        <f t="array" ref="B252">_xlfn.IFS(A252&lt;=$C$2,5,AND(A252&gt;$C$2,A252&lt;=$A$2),(5-(2/($A$2-$C$2))*(A252-$C$2)),AND(A252&gt;$A$2,A252&lt;=$B$2),(3-(2/($B$2-$A$2))*(A252-$A$2)),A252&gt;$B$2,0.1^((A252-$B$2)/$B$2))</f>
        <v>0.1792755760934974</v>
      </c>
    </row>
    <row r="253" spans="1:2" x14ac:dyDescent="0.3">
      <c r="A253">
        <v>12.45</v>
      </c>
      <c r="B253" s="3" cm="1">
        <f t="array" ref="B253">_xlfn.IFS(A253&lt;=$C$2,5,AND(A253&gt;$C$2,A253&lt;=$A$2),(5-(2/($A$2-$C$2))*(A253-$C$2)),AND(A253&gt;$A$2,A253&lt;=$B$2),(3-(2/($B$2-$A$2))*(A253-$A$2)),A253&gt;$B$2,0.1^((A253-$B$2)/$B$2))</f>
        <v>0.17639199544499917</v>
      </c>
    </row>
    <row r="254" spans="1:2" x14ac:dyDescent="0.3">
      <c r="A254">
        <v>12.5</v>
      </c>
      <c r="B254" s="3" cm="1">
        <f t="array" ref="B254">_xlfn.IFS(A254&lt;=$C$2,5,AND(A254&gt;$C$2,A254&lt;=$A$2),(5-(2/($A$2-$C$2))*(A254-$C$2)),AND(A254&gt;$A$2,A254&lt;=$B$2),(3-(2/($B$2-$A$2))*(A254-$A$2)),A254&gt;$B$2,0.1^((A254-$B$2)/$B$2))</f>
        <v>0.17355479611367516</v>
      </c>
    </row>
    <row r="255" spans="1:2" x14ac:dyDescent="0.3">
      <c r="A255">
        <v>12.55</v>
      </c>
      <c r="B255" s="3" cm="1">
        <f t="array" ref="B255">_xlfn.IFS(A255&lt;=$C$2,5,AND(A255&gt;$C$2,A255&lt;=$A$2),(5-(2/($A$2-$C$2))*(A255-$C$2)),AND(A255&gt;$A$2,A255&lt;=$B$2),(3-(2/($B$2-$A$2))*(A255-$A$2)),A255&gt;$B$2,0.1^((A255-$B$2)/$B$2))</f>
        <v>0.1707632320733708</v>
      </c>
    </row>
    <row r="256" spans="1:2" x14ac:dyDescent="0.3">
      <c r="A256">
        <v>12.6</v>
      </c>
      <c r="B256" s="3" cm="1">
        <f t="array" ref="B256">_xlfn.IFS(A256&lt;=$C$2,5,AND(A256&gt;$C$2,A256&lt;=$A$2),(5-(2/($A$2-$C$2))*(A256-$C$2)),AND(A256&gt;$A$2,A256&lt;=$B$2),(3-(2/($B$2-$A$2))*(A256-$A$2)),A256&gt;$B$2,0.1^((A256-$B$2)/$B$2))</f>
        <v>0.16801656929748338</v>
      </c>
    </row>
    <row r="257" spans="1:2" x14ac:dyDescent="0.3">
      <c r="A257">
        <v>12.65</v>
      </c>
      <c r="B257" s="3" cm="1">
        <f t="array" ref="B257">_xlfn.IFS(A257&lt;=$C$2,5,AND(A257&gt;$C$2,A257&lt;=$A$2),(5-(2/($A$2-$C$2))*(A257-$C$2)),AND(A257&gt;$A$2,A257&lt;=$B$2),(3-(2/($B$2-$A$2))*(A257-$A$2)),A257&gt;$B$2,0.1^((A257-$B$2)/$B$2))</f>
        <v>0.1653140855659537</v>
      </c>
    </row>
    <row r="258" spans="1:2" x14ac:dyDescent="0.3">
      <c r="A258">
        <v>12.7</v>
      </c>
      <c r="B258" s="3" cm="1">
        <f t="array" ref="B258">_xlfn.IFS(A258&lt;=$C$2,5,AND(A258&gt;$C$2,A258&lt;=$A$2),(5-(2/($A$2-$C$2))*(A258-$C$2)),AND(A258&gt;$A$2,A258&lt;=$B$2),(3-(2/($B$2-$A$2))*(A258-$A$2)),A258&gt;$B$2,0.1^((A258-$B$2)/$B$2))</f>
        <v>0.1626550702753625</v>
      </c>
    </row>
    <row r="259" spans="1:2" x14ac:dyDescent="0.3">
      <c r="A259">
        <v>12.75</v>
      </c>
      <c r="B259" s="3" cm="1">
        <f t="array" ref="B259">_xlfn.IFS(A259&lt;=$C$2,5,AND(A259&gt;$C$2,A259&lt;=$A$2),(5-(2/($A$2-$C$2))*(A259-$C$2)),AND(A259&gt;$A$2,A259&lt;=$B$2),(3-(2/($B$2-$A$2))*(A259-$A$2)),A259&gt;$B$2,0.1^((A259-$B$2)/$B$2))</f>
        <v>0.16003882425208069</v>
      </c>
    </row>
    <row r="260" spans="1:2" x14ac:dyDescent="0.3">
      <c r="A260">
        <v>12.8</v>
      </c>
      <c r="B260" s="3" cm="1">
        <f t="array" ref="B260">_xlfn.IFS(A260&lt;=$C$2,5,AND(A260&gt;$C$2,A260&lt;=$A$2),(5-(2/($A$2-$C$2))*(A260-$C$2)),AND(A260&gt;$A$2,A260&lt;=$B$2),(3-(2/($B$2-$A$2))*(A260-$A$2)),A260&gt;$B$2,0.1^((A260-$B$2)/$B$2))</f>
        <v>0.15746465956842609</v>
      </c>
    </row>
    <row r="261" spans="1:2" x14ac:dyDescent="0.3">
      <c r="A261">
        <v>12.85</v>
      </c>
      <c r="B261" s="3" cm="1">
        <f t="array" ref="B261">_xlfn.IFS(A261&lt;=$C$2,5,AND(A261&gt;$C$2,A261&lt;=$A$2),(5-(2/($A$2-$C$2))*(A261-$C$2)),AND(A261&gt;$A$2,A261&lt;=$B$2),(3-(2/($B$2-$A$2))*(A261-$A$2)),A261&gt;$B$2,0.1^((A261-$B$2)/$B$2))</f>
        <v>0.15493189936177604</v>
      </c>
    </row>
    <row r="262" spans="1:2" x14ac:dyDescent="0.3">
      <c r="A262">
        <v>12.9</v>
      </c>
      <c r="B262" s="3" cm="1">
        <f t="array" ref="B262">_xlfn.IFS(A262&lt;=$C$2,5,AND(A262&gt;$C$2,A262&lt;=$A$2),(5-(2/($A$2-$C$2))*(A262-$C$2)),AND(A262&gt;$A$2,A262&lt;=$B$2),(3-(2/($B$2-$A$2))*(A262-$A$2)),A262&gt;$B$2,0.1^((A262-$B$2)/$B$2))</f>
        <v>0.15243987765659017</v>
      </c>
    </row>
    <row r="263" spans="1:2" x14ac:dyDescent="0.3">
      <c r="A263">
        <v>12.95</v>
      </c>
      <c r="B263" s="3" cm="1">
        <f t="array" ref="B263">_xlfn.IFS(A263&lt;=$C$2,5,AND(A263&gt;$C$2,A263&lt;=$A$2),(5-(2/($A$2-$C$2))*(A263-$C$2)),AND(A263&gt;$A$2,A263&lt;=$B$2),(3-(2/($B$2-$A$2))*(A263-$A$2)),A263&gt;$B$2,0.1^((A263-$B$2)/$B$2))</f>
        <v>0.14998793918929595</v>
      </c>
    </row>
    <row r="264" spans="1:2" x14ac:dyDescent="0.3">
      <c r="A264">
        <v>13</v>
      </c>
      <c r="B264" s="3" cm="1">
        <f t="array" ref="B264">_xlfn.IFS(A264&lt;=$C$2,5,AND(A264&gt;$C$2,A264&lt;=$A$2),(5-(2/($A$2-$C$2))*(A264-$C$2)),AND(A264&gt;$A$2,A264&lt;=$B$2),(3-(2/($B$2-$A$2))*(A264-$A$2)),A264&gt;$B$2,0.1^((A264-$B$2)/$B$2))</f>
        <v>0.14757543923599037</v>
      </c>
    </row>
    <row r="265" spans="1:2" x14ac:dyDescent="0.3">
      <c r="A265">
        <v>13.05</v>
      </c>
      <c r="B265" s="3" cm="1">
        <f t="array" ref="B265">_xlfn.IFS(A265&lt;=$C$2,5,AND(A265&gt;$C$2,A265&lt;=$A$2),(5-(2/($A$2-$C$2))*(A265-$C$2)),AND(A265&gt;$A$2,A265&lt;=$B$2),(3-(2/($B$2-$A$2))*(A265-$A$2)),A265&gt;$B$2,0.1^((A265-$B$2)/$B$2))</f>
        <v>0.14520174344291367</v>
      </c>
    </row>
    <row r="266" spans="1:2" x14ac:dyDescent="0.3">
      <c r="A266">
        <v>13.1</v>
      </c>
      <c r="B266" s="3" cm="1">
        <f t="array" ref="B266">_xlfn.IFS(A266&lt;=$C$2,5,AND(A266&gt;$C$2,A266&lt;=$A$2),(5-(2/($A$2-$C$2))*(A266-$C$2)),AND(A266&gt;$A$2,A266&lt;=$B$2),(3-(2/($B$2-$A$2))*(A266-$A$2)),A266&gt;$B$2,0.1^((A266-$B$2)/$B$2))</f>
        <v>0.14286622765964924</v>
      </c>
    </row>
    <row r="267" spans="1:2" x14ac:dyDescent="0.3">
      <c r="A267">
        <v>13.15</v>
      </c>
      <c r="B267" s="3" cm="1">
        <f t="array" ref="B267">_xlfn.IFS(A267&lt;=$C$2,5,AND(A267&gt;$C$2,A267&lt;=$A$2),(5-(2/($A$2-$C$2))*(A267-$C$2)),AND(A267&gt;$A$2,A267&lt;=$B$2),(3-(2/($B$2-$A$2))*(A267-$A$2)),A267&gt;$B$2,0.1^((A267-$B$2)/$B$2))</f>
        <v>0.14056827777500649</v>
      </c>
    </row>
    <row r="268" spans="1:2" x14ac:dyDescent="0.3">
      <c r="A268">
        <v>13.2</v>
      </c>
      <c r="B268" s="3" cm="1">
        <f t="array" ref="B268">_xlfn.IFS(A268&lt;=$C$2,5,AND(A268&gt;$C$2,A268&lt;=$A$2),(5-(2/($A$2-$C$2))*(A268-$C$2)),AND(A268&gt;$A$2,A268&lt;=$B$2),(3-(2/($B$2-$A$2))*(A268-$A$2)),A268&gt;$B$2,0.1^((A268-$B$2)/$B$2))</f>
        <v>0.13830728955554414</v>
      </c>
    </row>
    <row r="269" spans="1:2" x14ac:dyDescent="0.3">
      <c r="A269">
        <v>13.25</v>
      </c>
      <c r="B269" s="3" cm="1">
        <f t="array" ref="B269">_xlfn.IFS(A269&lt;=$C$2,5,AND(A269&gt;$C$2,A269&lt;=$A$2),(5-(2/($A$2-$C$2))*(A269-$C$2)),AND(A269&gt;$A$2,A269&lt;=$B$2),(3-(2/($B$2-$A$2))*(A269-$A$2)),A269&gt;$B$2,0.1^((A269-$B$2)/$B$2))</f>
        <v>0.13608266848668968</v>
      </c>
    </row>
    <row r="270" spans="1:2" x14ac:dyDescent="0.3">
      <c r="A270">
        <v>13.3</v>
      </c>
      <c r="B270" s="3" cm="1">
        <f t="array" ref="B270">_xlfn.IFS(A270&lt;=$C$2,5,AND(A270&gt;$C$2,A270&lt;=$A$2),(5-(2/($A$2-$C$2))*(A270-$C$2)),AND(A270&gt;$A$2,A270&lt;=$B$2),(3-(2/($B$2-$A$2))*(A270-$A$2)),A270&gt;$B$2,0.1^((A270-$B$2)/$B$2))</f>
        <v>0.13389382961641558</v>
      </c>
    </row>
    <row r="271" spans="1:2" x14ac:dyDescent="0.3">
      <c r="A271">
        <v>13.35</v>
      </c>
      <c r="B271" s="3" cm="1">
        <f t="array" ref="B271">_xlfn.IFS(A271&lt;=$C$2,5,AND(A271&gt;$C$2,A271&lt;=$A$2),(5-(2/($A$2-$C$2))*(A271-$C$2)),AND(A271&gt;$A$2,A271&lt;=$B$2),(3-(2/($B$2-$A$2))*(A271-$A$2)),A271&gt;$B$2,0.1^((A271-$B$2)/$B$2))</f>
        <v>0.13174019740142917</v>
      </c>
    </row>
    <row r="272" spans="1:2" x14ac:dyDescent="0.3">
      <c r="A272">
        <v>13.4</v>
      </c>
      <c r="B272" s="3" cm="1">
        <f t="array" ref="B272">_xlfn.IFS(A272&lt;=$C$2,5,AND(A272&gt;$C$2,A272&lt;=$A$2),(5-(2/($A$2-$C$2))*(A272-$C$2)),AND(A272&gt;$A$2,A272&lt;=$B$2),(3-(2/($B$2-$A$2))*(A272-$A$2)),A272&gt;$B$2,0.1^((A272-$B$2)/$B$2))</f>
        <v>0.1296212055558362</v>
      </c>
    </row>
    <row r="273" spans="1:2" x14ac:dyDescent="0.3">
      <c r="A273">
        <v>13.45</v>
      </c>
      <c r="B273" s="3" cm="1">
        <f t="array" ref="B273">_xlfn.IFS(A273&lt;=$C$2,5,AND(A273&gt;$C$2,A273&lt;=$A$2),(5-(2/($A$2-$C$2))*(A273-$C$2)),AND(A273&gt;$A$2,A273&lt;=$B$2),(3-(2/($B$2-$A$2))*(A273-$A$2)),A273&gt;$B$2,0.1^((A273-$B$2)/$B$2))</f>
        <v>0.12753629690223975</v>
      </c>
    </row>
    <row r="274" spans="1:2" x14ac:dyDescent="0.3">
      <c r="A274">
        <v>13.5</v>
      </c>
      <c r="B274" s="3" cm="1">
        <f t="array" ref="B274">_xlfn.IFS(A274&lt;=$C$2,5,AND(A274&gt;$C$2,A274&lt;=$A$2),(5-(2/($A$2-$C$2))*(A274-$C$2)),AND(A274&gt;$A$2,A274&lt;=$B$2),(3-(2/($B$2-$A$2))*(A274-$A$2)),A274&gt;$B$2,0.1^((A274-$B$2)/$B$2))</f>
        <v>0.12548492322523294</v>
      </c>
    </row>
    <row r="275" spans="1:2" x14ac:dyDescent="0.3">
      <c r="A275">
        <v>13.55</v>
      </c>
      <c r="B275" s="3" cm="1">
        <f t="array" ref="B275">_xlfn.IFS(A275&lt;=$C$2,5,AND(A275&gt;$C$2,A275&lt;=$A$2),(5-(2/($A$2-$C$2))*(A275-$C$2)),AND(A275&gt;$A$2,A275&lt;=$B$2),(3-(2/($B$2-$A$2))*(A275-$A$2)),A275&gt;$B$2,0.1^((A275-$B$2)/$B$2))</f>
        <v>0.12346654512724896</v>
      </c>
    </row>
    <row r="276" spans="1:2" x14ac:dyDescent="0.3">
      <c r="A276">
        <v>13.6</v>
      </c>
      <c r="B276" s="3" cm="1">
        <f t="array" ref="B276">_xlfn.IFS(A276&lt;=$C$2,5,AND(A276&gt;$C$2,A276&lt;=$A$2),(5-(2/($A$2-$C$2))*(A276-$C$2)),AND(A276&gt;$A$2,A276&lt;=$B$2),(3-(2/($B$2-$A$2))*(A276-$A$2)),A276&gt;$B$2,0.1^((A276-$B$2)/$B$2))</f>
        <v>0.12148063188672935</v>
      </c>
    </row>
    <row r="277" spans="1:2" x14ac:dyDescent="0.3">
      <c r="A277">
        <v>13.65</v>
      </c>
      <c r="B277" s="3" cm="1">
        <f t="array" ref="B277">_xlfn.IFS(A277&lt;=$C$2,5,AND(A277&gt;$C$2,A277&lt;=$A$2),(5-(2/($A$2-$C$2))*(A277-$C$2)),AND(A277&gt;$A$2,A277&lt;=$B$2),(3-(2/($B$2-$A$2))*(A277-$A$2)),A277&gt;$B$2,0.1^((A277-$B$2)/$B$2))</f>
        <v>0.11952666131857327</v>
      </c>
    </row>
    <row r="278" spans="1:2" x14ac:dyDescent="0.3">
      <c r="A278">
        <v>13.7</v>
      </c>
      <c r="B278" s="3" cm="1">
        <f t="array" ref="B278">_xlfn.IFS(A278&lt;=$C$2,5,AND(A278&gt;$C$2,A278&lt;=$A$2),(5-(2/($A$2-$C$2))*(A278-$C$2)),AND(A278&gt;$A$2,A278&lt;=$B$2),(3-(2/($B$2-$A$2))*(A278-$A$2)),A278&gt;$B$2,0.1^((A278-$B$2)/$B$2))</f>
        <v>0.11760411963683255</v>
      </c>
    </row>
    <row r="279" spans="1:2" x14ac:dyDescent="0.3">
      <c r="A279">
        <v>13.75</v>
      </c>
      <c r="B279" s="3" cm="1">
        <f t="array" ref="B279">_xlfn.IFS(A279&lt;=$C$2,5,AND(A279&gt;$C$2,A279&lt;=$A$2),(5-(2/($A$2-$C$2))*(A279-$C$2)),AND(A279&gt;$A$2,A279&lt;=$B$2),(3-(2/($B$2-$A$2))*(A279-$A$2)),A279&gt;$B$2,0.1^((A279-$B$2)/$B$2))</f>
        <v>0.11571250131961355</v>
      </c>
    </row>
    <row r="280" spans="1:2" x14ac:dyDescent="0.3">
      <c r="A280">
        <v>13.8</v>
      </c>
      <c r="B280" s="3" cm="1">
        <f t="array" ref="B280">_xlfn.IFS(A280&lt;=$C$2,5,AND(A280&gt;$C$2,A280&lt;=$A$2),(5-(2/($A$2-$C$2))*(A280-$C$2)),AND(A280&gt;$A$2,A280&lt;=$B$2),(3-(2/($B$2-$A$2))*(A280-$A$2)),A280&gt;$B$2,0.1^((A280-$B$2)/$B$2))</f>
        <v>0.1138513089761537</v>
      </c>
    </row>
    <row r="281" spans="1:2" x14ac:dyDescent="0.3">
      <c r="A281">
        <v>13.85</v>
      </c>
      <c r="B281" s="3" cm="1">
        <f t="array" ref="B281">_xlfn.IFS(A281&lt;=$C$2,5,AND(A281&gt;$C$2,A281&lt;=$A$2),(5-(2/($A$2-$C$2))*(A281-$C$2)),AND(A281&gt;$A$2,A281&lt;=$B$2),(3-(2/($B$2-$A$2))*(A281-$A$2)),A281&gt;$B$2,0.1^((A281-$B$2)/$B$2))</f>
        <v>0.11202005321603492</v>
      </c>
    </row>
    <row r="282" spans="1:2" x14ac:dyDescent="0.3">
      <c r="A282">
        <v>13.9</v>
      </c>
      <c r="B282" s="3" cm="1">
        <f t="array" ref="B282">_xlfn.IFS(A282&lt;=$C$2,5,AND(A282&gt;$C$2,A282&lt;=$A$2),(5-(2/($A$2-$C$2))*(A282-$C$2)),AND(A282&gt;$A$2,A282&lt;=$B$2),(3-(2/($B$2-$A$2))*(A282-$A$2)),A282&gt;$B$2,0.1^((A282-$B$2)/$B$2))</f>
        <v>0.11021825252050101</v>
      </c>
    </row>
    <row r="283" spans="1:2" x14ac:dyDescent="0.3">
      <c r="A283">
        <v>13.95</v>
      </c>
      <c r="B283" s="3" cm="1">
        <f t="array" ref="B283">_xlfn.IFS(A283&lt;=$C$2,5,AND(A283&gt;$C$2,A283&lt;=$A$2),(5-(2/($A$2-$C$2))*(A283-$C$2)),AND(A283&gt;$A$2,A283&lt;=$B$2),(3-(2/($B$2-$A$2))*(A283-$A$2)),A283&gt;$B$2,0.1^((A283-$B$2)/$B$2))</f>
        <v>0.10844543311584516</v>
      </c>
    </row>
    <row r="284" spans="1:2" x14ac:dyDescent="0.3">
      <c r="A284">
        <v>14</v>
      </c>
      <c r="B284" s="3" cm="1">
        <f t="array" ref="B284">_xlfn.IFS(A284&lt;=$C$2,5,AND(A284&gt;$C$2,A284&lt;=$A$2),(5-(2/($A$2-$C$2))*(A284-$C$2)),AND(A284&gt;$A$2,A284&lt;=$B$2),(3-(2/($B$2-$A$2))*(A284-$A$2)),A284&gt;$B$2,0.1^((A284-$B$2)/$B$2))</f>
        <v>0.10670112884883352</v>
      </c>
    </row>
    <row r="285" spans="1:2" x14ac:dyDescent="0.3">
      <c r="A285">
        <v>14.05</v>
      </c>
      <c r="B285" s="3" cm="1">
        <f t="array" ref="B285">_xlfn.IFS(A285&lt;=$C$2,5,AND(A285&gt;$C$2,A285&lt;=$A$2),(5-(2/($A$2-$C$2))*(A285-$C$2)),AND(A285&gt;$A$2,A285&lt;=$B$2),(3-(2/($B$2-$A$2))*(A285-$A$2)),A285&gt;$B$2,0.1^((A285-$B$2)/$B$2))</f>
        <v>0.10498488106413274</v>
      </c>
    </row>
    <row r="286" spans="1:2" x14ac:dyDescent="0.3">
      <c r="A286">
        <v>14.1</v>
      </c>
      <c r="B286" s="3" cm="1">
        <f t="array" ref="B286">_xlfn.IFS(A286&lt;=$C$2,5,AND(A286&gt;$C$2,A286&lt;=$A$2),(5-(2/($A$2-$C$2))*(A286-$C$2)),AND(A286&gt;$A$2,A286&lt;=$B$2),(3-(2/($B$2-$A$2))*(A286-$A$2)),A286&gt;$B$2,0.1^((A286-$B$2)/$B$2))</f>
        <v>0.10329623848370936</v>
      </c>
    </row>
    <row r="287" spans="1:2" x14ac:dyDescent="0.3">
      <c r="A287">
        <v>14.15</v>
      </c>
      <c r="B287" s="3" cm="1">
        <f t="array" ref="B287">_xlfn.IFS(A287&lt;=$C$2,5,AND(A287&gt;$C$2,A287&lt;=$A$2),(5-(2/($A$2-$C$2))*(A287-$C$2)),AND(A287&gt;$A$2,A287&lt;=$B$2),(3-(2/($B$2-$A$2))*(A287-$A$2)),A287&gt;$B$2,0.1^((A287-$B$2)/$B$2))</f>
        <v>0.10163475708816809</v>
      </c>
    </row>
    <row r="288" spans="1:2" x14ac:dyDescent="0.3">
      <c r="A288">
        <v>14.2</v>
      </c>
      <c r="B288" s="3" cm="1">
        <f t="array" ref="B288">_xlfn.IFS(A288&lt;=$C$2,5,AND(A288&gt;$C$2,A288&lt;=$A$2),(5-(2/($A$2-$C$2))*(A288-$C$2)),AND(A288&gt;$A$2,A288&lt;=$B$2),(3-(2/($B$2-$A$2))*(A288-$A$2)),A288&gt;$B$2,0.1^((A288-$B$2)/$B$2))</f>
        <v>0.1</v>
      </c>
    </row>
    <row r="289" spans="1:2" x14ac:dyDescent="0.3">
      <c r="A289">
        <v>14.25</v>
      </c>
      <c r="B289" s="3" cm="1">
        <f t="array" ref="B289">_xlfn.IFS(A289&lt;=$C$2,5,AND(A289&gt;$C$2,A289&lt;=$A$2),(5-(2/($A$2-$C$2))*(A289-$C$2)),AND(A289&gt;$A$2,A289&lt;=$B$2),(3-(2/($B$2-$A$2))*(A289-$A$2)),A289&gt;$B$2,0.1^((A289-$B$2)/$B$2))</f>
        <v>9.8391537368707538E-2</v>
      </c>
    </row>
    <row r="290" spans="1:2" x14ac:dyDescent="0.3">
      <c r="A290">
        <v>14.3</v>
      </c>
      <c r="B290" s="3" cm="1">
        <f t="array" ref="B290">_xlfn.IFS(A290&lt;=$C$2,5,AND(A290&gt;$C$2,A290&lt;=$A$2),(5-(2/($A$2-$C$2))*(A290-$C$2)),AND(A290&gt;$A$2,A290&lt;=$B$2),(3-(2/($B$2-$A$2))*(A290-$A$2)),A290&gt;$B$2,0.1^((A290-$B$2)/$B$2))</f>
        <v>9.6808946257777626E-2</v>
      </c>
    </row>
    <row r="291" spans="1:2" x14ac:dyDescent="0.3">
      <c r="A291">
        <v>14.35</v>
      </c>
      <c r="B291" s="3" cm="1">
        <f t="array" ref="B291">_xlfn.IFS(A291&lt;=$C$2,5,AND(A291&gt;$C$2,A291&lt;=$A$2),(5-(2/($A$2-$C$2))*(A291-$C$2)),AND(A291&gt;$A$2,A291&lt;=$B$2),(3-(2/($B$2-$A$2))*(A291-$A$2)),A291&gt;$B$2,0.1^((A291-$B$2)/$B$2))</f>
        <v>9.5251810533473286E-2</v>
      </c>
    </row>
    <row r="292" spans="1:2" x14ac:dyDescent="0.3">
      <c r="A292">
        <v>14.4</v>
      </c>
      <c r="B292" s="3" cm="1">
        <f t="array" ref="B292">_xlfn.IFS(A292&lt;=$C$2,5,AND(A292&gt;$C$2,A292&lt;=$A$2),(5-(2/($A$2-$C$2))*(A292-$C$2)),AND(A292&gt;$A$2,A292&lt;=$B$2),(3-(2/($B$2-$A$2))*(A292-$A$2)),A292&gt;$B$2,0.1^((A292-$B$2)/$B$2))</f>
        <v>9.3719720755412822E-2</v>
      </c>
    </row>
    <row r="293" spans="1:2" x14ac:dyDescent="0.3">
      <c r="A293">
        <v>14.45</v>
      </c>
      <c r="B293" s="3" cm="1">
        <f t="array" ref="B293">_xlfn.IFS(A293&lt;=$C$2,5,AND(A293&gt;$C$2,A293&lt;=$A$2),(5-(2/($A$2-$C$2))*(A293-$C$2)),AND(A293&gt;$A$2,A293&lt;=$B$2),(3-(2/($B$2-$A$2))*(A293-$A$2)),A293&gt;$B$2,0.1^((A293-$B$2)/$B$2))</f>
        <v>9.2212274068910388E-2</v>
      </c>
    </row>
    <row r="294" spans="1:2" x14ac:dyDescent="0.3">
      <c r="A294">
        <v>14.5</v>
      </c>
      <c r="B294" s="3" cm="1">
        <f t="array" ref="B294">_xlfn.IFS(A294&lt;=$C$2,5,AND(A294&gt;$C$2,A294&lt;=$A$2),(5-(2/($A$2-$C$2))*(A294-$C$2)),AND(A294&gt;$A$2,A294&lt;=$B$2),(3-(2/($B$2-$A$2))*(A294-$A$2)),A294&gt;$B$2,0.1^((A294-$B$2)/$B$2))</f>
        <v>9.0729074099046875E-2</v>
      </c>
    </row>
    <row r="295" spans="1:2" x14ac:dyDescent="0.3">
      <c r="A295">
        <v>14.55</v>
      </c>
      <c r="B295" s="3" cm="1">
        <f t="array" ref="B295">_xlfn.IFS(A295&lt;=$C$2,5,AND(A295&gt;$C$2,A295&lt;=$A$2),(5-(2/($A$2-$C$2))*(A295-$C$2)),AND(A295&gt;$A$2,A295&lt;=$B$2),(3-(2/($B$2-$A$2))*(A295-$A$2)),A295&gt;$B$2,0.1^((A295-$B$2)/$B$2))</f>
        <v>8.9269730846446044E-2</v>
      </c>
    </row>
    <row r="296" spans="1:2" x14ac:dyDescent="0.3">
      <c r="A296">
        <v>14.6</v>
      </c>
      <c r="B296" s="3" cm="1">
        <f t="array" ref="B296">_xlfn.IFS(A296&lt;=$C$2,5,AND(A296&gt;$C$2,A296&lt;=$A$2),(5-(2/($A$2-$C$2))*(A296-$C$2)),AND(A296&gt;$A$2,A296&lt;=$B$2),(3-(2/($B$2-$A$2))*(A296-$A$2)),A296&gt;$B$2,0.1^((A296-$B$2)/$B$2))</f>
        <v>8.7833860584725545E-2</v>
      </c>
    </row>
    <row r="297" spans="1:2" x14ac:dyDescent="0.3">
      <c r="A297">
        <v>14.65</v>
      </c>
      <c r="B297" s="3" cm="1">
        <f t="array" ref="B297">_xlfn.IFS(A297&lt;=$C$2,5,AND(A297&gt;$C$2,A297&lt;=$A$2),(5-(2/($A$2-$C$2))*(A297-$C$2)),AND(A297&gt;$A$2,A297&lt;=$B$2),(3-(2/($B$2-$A$2))*(A297-$A$2)),A297&gt;$B$2,0.1^((A297-$B$2)/$B$2))</f>
        <v>8.6421085759598698E-2</v>
      </c>
    </row>
    <row r="298" spans="1:2" x14ac:dyDescent="0.3">
      <c r="A298">
        <v>14.7</v>
      </c>
      <c r="B298" s="3" cm="1">
        <f t="array" ref="B298">_xlfn.IFS(A298&lt;=$C$2,5,AND(A298&gt;$C$2,A298&lt;=$A$2),(5-(2/($A$2-$C$2))*(A298-$C$2)),AND(A298&gt;$A$2,A298&lt;=$B$2),(3-(2/($B$2-$A$2))*(A298-$A$2)),A298&gt;$B$2,0.1^((A298-$B$2)/$B$2))</f>
        <v>8.5031034889598359E-2</v>
      </c>
    </row>
    <row r="299" spans="1:2" x14ac:dyDescent="0.3">
      <c r="A299">
        <v>14.75</v>
      </c>
      <c r="B299" s="3" cm="1">
        <f t="array" ref="B299">_xlfn.IFS(A299&lt;=$C$2,5,AND(A299&gt;$C$2,A299&lt;=$A$2),(5-(2/($A$2-$C$2))*(A299-$C$2)),AND(A299&gt;$A$2,A299&lt;=$B$2),(3-(2/($B$2-$A$2))*(A299-$A$2)),A299&gt;$B$2,0.1^((A299-$B$2)/$B$2))</f>
        <v>8.3663342468397864E-2</v>
      </c>
    </row>
    <row r="300" spans="1:2" x14ac:dyDescent="0.3">
      <c r="A300">
        <v>14.8</v>
      </c>
      <c r="B300" s="3" cm="1">
        <f t="array" ref="B300">_xlfn.IFS(A300&lt;=$C$2,5,AND(A300&gt;$C$2,A300&lt;=$A$2),(5-(2/($A$2-$C$2))*(A300-$C$2)),AND(A300&gt;$A$2,A300&lt;=$B$2),(3-(2/($B$2-$A$2))*(A300-$A$2)),A300&gt;$B$2,0.1^((A300-$B$2)/$B$2))</f>
        <v>8.2317648868703394E-2</v>
      </c>
    </row>
    <row r="301" spans="1:2" x14ac:dyDescent="0.3">
      <c r="A301">
        <v>14.85</v>
      </c>
      <c r="B301" s="3" cm="1">
        <f t="array" ref="B301">_xlfn.IFS(A301&lt;=$C$2,5,AND(A301&gt;$C$2,A301&lt;=$A$2),(5-(2/($A$2-$C$2))*(A301-$C$2)),AND(A301&gt;$A$2,A301&lt;=$B$2),(3-(2/($B$2-$A$2))*(A301-$A$2)),A301&gt;$B$2,0.1^((A301-$B$2)/$B$2))</f>
        <v>8.0993600247691755E-2</v>
      </c>
    </row>
    <row r="302" spans="1:2" x14ac:dyDescent="0.3">
      <c r="A302">
        <v>14.9</v>
      </c>
      <c r="B302" s="3" cm="1">
        <f t="array" ref="B302">_xlfn.IFS(A302&lt;=$C$2,5,AND(A302&gt;$C$2,A302&lt;=$A$2),(5-(2/($A$2-$C$2))*(A302-$C$2)),AND(A302&gt;$A$2,A302&lt;=$B$2),(3-(2/($B$2-$A$2))*(A302-$A$2)),A302&gt;$B$2,0.1^((A302-$B$2)/$B$2))</f>
        <v>7.9690848453969218E-2</v>
      </c>
    </row>
    <row r="303" spans="1:2" x14ac:dyDescent="0.3">
      <c r="A303">
        <v>14.95</v>
      </c>
      <c r="B303" s="3" cm="1">
        <f t="array" ref="B303">_xlfn.IFS(A303&lt;=$C$2,5,AND(A303&gt;$C$2,A303&lt;=$A$2),(5-(2/($A$2-$C$2))*(A303-$C$2)),AND(A303&gt;$A$2,A303&lt;=$B$2),(3-(2/($B$2-$A$2))*(A303-$A$2)),A303&gt;$B$2,0.1^((A303-$B$2)/$B$2))</f>
        <v>7.8409050936027166E-2</v>
      </c>
    </row>
    <row r="304" spans="1:2" x14ac:dyDescent="0.3">
      <c r="A304">
        <v>15</v>
      </c>
      <c r="B304" s="3" cm="1">
        <f t="array" ref="B304">_xlfn.IFS(A304&lt;=$C$2,5,AND(A304&gt;$C$2,A304&lt;=$A$2),(5-(2/($A$2-$C$2))*(A304-$C$2)),AND(A304&gt;$A$2,A304&lt;=$B$2),(3-(2/($B$2-$A$2))*(A304-$A$2)),A304&gt;$B$2,0.1^((A304-$B$2)/$B$2))</f>
        <v>7.7147870652170075E-2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PESOS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IDC Juan Camilo Urango Pérez</dc:creator>
  <cp:lastModifiedBy>IDC Juan Camilo Urango Pérez</cp:lastModifiedBy>
  <dcterms:created xsi:type="dcterms:W3CDTF">2024-06-13T17:15:19Z</dcterms:created>
  <dcterms:modified xsi:type="dcterms:W3CDTF">2026-04-14T14:54:31Z</dcterms:modified>
</cp:coreProperties>
</file>